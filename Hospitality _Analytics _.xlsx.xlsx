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hitra\Downloads\"/>
    </mc:Choice>
  </mc:AlternateContent>
  <xr:revisionPtr revIDLastSave="0" documentId="13_ncr:1_{47BEAC32-F2ED-4BDD-AC34-AAA59641E95A}" xr6:coauthVersionLast="47" xr6:coauthVersionMax="47" xr10:uidLastSave="{00000000-0000-0000-0000-000000000000}"/>
  <bookViews>
    <workbookView xWindow="-108" yWindow="-108" windowWidth="23256" windowHeight="12456" firstSheet="7" activeTab="14" xr2:uid="{00000000-000D-0000-FFFF-FFFF00000000}"/>
  </bookViews>
  <sheets>
    <sheet name="Revenue by city" sheetId="4" r:id="rId1"/>
    <sheet name="Revenue by hotel chart" sheetId="5" r:id="rId2"/>
    <sheet name="Revenue by room type" sheetId="6" r:id="rId3"/>
    <sheet name="Bookings by channel" sheetId="7" r:id="rId4"/>
    <sheet name="Customer distribution" sheetId="8" r:id="rId5"/>
    <sheet name="Detail1" sheetId="18" r:id="rId6"/>
    <sheet name="Monthly revenue" sheetId="11" r:id="rId7"/>
    <sheet name="Rating analysis" sheetId="9" r:id="rId8"/>
    <sheet name="Sheet11" sheetId="14" r:id="rId9"/>
    <sheet name="KPI" sheetId="2" r:id="rId10"/>
    <sheet name="Sheet12" sheetId="15" r:id="rId11"/>
    <sheet name="Sheet13" sheetId="16" r:id="rId12"/>
    <sheet name="Sheet14" sheetId="17" r:id="rId13"/>
    <sheet name="HospitalityData" sheetId="1" r:id="rId14"/>
    <sheet name="Dashboard" sheetId="3" r:id="rId15"/>
  </sheets>
  <definedNames>
    <definedName name="Slicer_Booking_Channel">#N/A</definedName>
    <definedName name="Slicer_City">#N/A</definedName>
    <definedName name="Slicer_Hotel_Name">#N/A</definedName>
    <definedName name="Slicer_Room_Type">#N/A</definedName>
  </definedNames>
  <calcPr calcId="191029"/>
  <pivotCaches>
    <pivotCache cacheId="47" r:id="rId16"/>
    <pivotCache cacheId="46"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F2" i="2"/>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N2" i="2"/>
  <c r="L2" i="2"/>
  <c r="J2" i="2"/>
  <c r="H2" i="2"/>
</calcChain>
</file>

<file path=xl/sharedStrings.xml><?xml version="1.0" encoding="utf-8"?>
<sst xmlns="http://schemas.openxmlformats.org/spreadsheetml/2006/main" count="5608" uniqueCount="951">
  <si>
    <t>Booking_ID</t>
  </si>
  <si>
    <t>Booking_Date</t>
  </si>
  <si>
    <t>Check_In</t>
  </si>
  <si>
    <t>Check_Out</t>
  </si>
  <si>
    <t>Hotel_Name</t>
  </si>
  <si>
    <t>City</t>
  </si>
  <si>
    <t>Room_Type</t>
  </si>
  <si>
    <t>Customer_Type</t>
  </si>
  <si>
    <t>Booking_Channel</t>
  </si>
  <si>
    <t>Room_Rate</t>
  </si>
  <si>
    <t>Nights</t>
  </si>
  <si>
    <t>Revenue</t>
  </si>
  <si>
    <t>Occupancy_Status</t>
  </si>
  <si>
    <t>Rating</t>
  </si>
  <si>
    <t>Cancellation</t>
  </si>
  <si>
    <t>B0001</t>
  </si>
  <si>
    <t>2025-11-24</t>
  </si>
  <si>
    <t>2025-11-28</t>
  </si>
  <si>
    <t>2025-11-29</t>
  </si>
  <si>
    <t>Royal Stay</t>
  </si>
  <si>
    <t>Bangalore</t>
  </si>
  <si>
    <t>Suite</t>
  </si>
  <si>
    <t>Family</t>
  </si>
  <si>
    <t>Online</t>
  </si>
  <si>
    <t>Occupied</t>
  </si>
  <si>
    <t>No</t>
  </si>
  <si>
    <t>B0002</t>
  </si>
  <si>
    <t>2025-10-30</t>
  </si>
  <si>
    <t>2025-11-13</t>
  </si>
  <si>
    <t>2025-11-14</t>
  </si>
  <si>
    <t>Urban Residency</t>
  </si>
  <si>
    <t>Chennai</t>
  </si>
  <si>
    <t>Standard</t>
  </si>
  <si>
    <t>Travel Agent</t>
  </si>
  <si>
    <t>B0003</t>
  </si>
  <si>
    <t>2025-12-22</t>
  </si>
  <si>
    <t>2025-12-27</t>
  </si>
  <si>
    <t>Elite Inn</t>
  </si>
  <si>
    <t>Walk-in</t>
  </si>
  <si>
    <t>B0004</t>
  </si>
  <si>
    <t>2025-06-24</t>
  </si>
  <si>
    <t>2025-07-03</t>
  </si>
  <si>
    <t>2025-07-05</t>
  </si>
  <si>
    <t>Grand Hotel</t>
  </si>
  <si>
    <t>Deluxe</t>
  </si>
  <si>
    <t>Business</t>
  </si>
  <si>
    <t>Corporate</t>
  </si>
  <si>
    <t>Cancelled</t>
  </si>
  <si>
    <t>Yes</t>
  </si>
  <si>
    <t>B0005</t>
  </si>
  <si>
    <t>2025-06-26</t>
  </si>
  <si>
    <t>2025-07-16</t>
  </si>
  <si>
    <t>2025-07-19</t>
  </si>
  <si>
    <t>Hyderabad</t>
  </si>
  <si>
    <t>B0006</t>
  </si>
  <si>
    <t>2025-11-18</t>
  </si>
  <si>
    <t>2025-12-08</t>
  </si>
  <si>
    <t>2025-12-15</t>
  </si>
  <si>
    <t>B0007</t>
  </si>
  <si>
    <t>2025-02-10</t>
  </si>
  <si>
    <t>2025-03-10</t>
  </si>
  <si>
    <t>2025-03-12</t>
  </si>
  <si>
    <t>Mumbai</t>
  </si>
  <si>
    <t>Leisure</t>
  </si>
  <si>
    <t>B0008</t>
  </si>
  <si>
    <t>2025-12-10</t>
  </si>
  <si>
    <t>2025-12-19</t>
  </si>
  <si>
    <t>2025-12-25</t>
  </si>
  <si>
    <t>B0009</t>
  </si>
  <si>
    <t>2025-08-25</t>
  </si>
  <si>
    <t>2025-09-07</t>
  </si>
  <si>
    <t>2025-09-10</t>
  </si>
  <si>
    <t>B0010</t>
  </si>
  <si>
    <t>2025-07-25</t>
  </si>
  <si>
    <t>2025-08-03</t>
  </si>
  <si>
    <t>2025-08-04</t>
  </si>
  <si>
    <t>B0011</t>
  </si>
  <si>
    <t>2025-03-15</t>
  </si>
  <si>
    <t>2025-03-24</t>
  </si>
  <si>
    <t>2025-03-26</t>
  </si>
  <si>
    <t>B0012</t>
  </si>
  <si>
    <t>2025-07-13</t>
  </si>
  <si>
    <t>2025-07-15</t>
  </si>
  <si>
    <t>B0013</t>
  </si>
  <si>
    <t>2025-11-02</t>
  </si>
  <si>
    <t>2025-11-05</t>
  </si>
  <si>
    <t>2025-11-09</t>
  </si>
  <si>
    <t>Delhi</t>
  </si>
  <si>
    <t>B0014</t>
  </si>
  <si>
    <t>2025-12-16</t>
  </si>
  <si>
    <t>2026-01-14</t>
  </si>
  <si>
    <t>2026-01-19</t>
  </si>
  <si>
    <t>B0015</t>
  </si>
  <si>
    <t>2025-01-02</t>
  </si>
  <si>
    <t>2025-01-26</t>
  </si>
  <si>
    <t>2025-02-01</t>
  </si>
  <si>
    <t>B0016</t>
  </si>
  <si>
    <t>2025-03-20</t>
  </si>
  <si>
    <t>2025-04-01</t>
  </si>
  <si>
    <t>2025-04-08</t>
  </si>
  <si>
    <t>B0017</t>
  </si>
  <si>
    <t>2025-02-27</t>
  </si>
  <si>
    <t>2025-03-29</t>
  </si>
  <si>
    <t>B0018</t>
  </si>
  <si>
    <t>2025-02-05</t>
  </si>
  <si>
    <t>2025-03-02</t>
  </si>
  <si>
    <t>2025-03-07</t>
  </si>
  <si>
    <t>B0019</t>
  </si>
  <si>
    <t>2025-04-19</t>
  </si>
  <si>
    <t>2025-05-19</t>
  </si>
  <si>
    <t>2025-05-24</t>
  </si>
  <si>
    <t>B0020</t>
  </si>
  <si>
    <t>2025-08-13</t>
  </si>
  <si>
    <t>2025-09-11</t>
  </si>
  <si>
    <t>2025-09-16</t>
  </si>
  <si>
    <t>B0021</t>
  </si>
  <si>
    <t>2025-10-29</t>
  </si>
  <si>
    <t>2025-11-06</t>
  </si>
  <si>
    <t>2025-11-07</t>
  </si>
  <si>
    <t>B0022</t>
  </si>
  <si>
    <t>2025-09-21</t>
  </si>
  <si>
    <t>2025-09-29</t>
  </si>
  <si>
    <t>2025-10-02</t>
  </si>
  <si>
    <t>B0023</t>
  </si>
  <si>
    <t>2025-08-31</t>
  </si>
  <si>
    <t>2025-09-26</t>
  </si>
  <si>
    <t>2025-09-30</t>
  </si>
  <si>
    <t>Skyline Suites</t>
  </si>
  <si>
    <t>B0024</t>
  </si>
  <si>
    <t>2025-01-28</t>
  </si>
  <si>
    <t>2025-02-19</t>
  </si>
  <si>
    <t>2025-02-25</t>
  </si>
  <si>
    <t>B0025</t>
  </si>
  <si>
    <t>2025-10-17</t>
  </si>
  <si>
    <t>2025-10-19</t>
  </si>
  <si>
    <t>B0026</t>
  </si>
  <si>
    <t>2025-02-16</t>
  </si>
  <si>
    <t>2025-02-21</t>
  </si>
  <si>
    <t>B0027</t>
  </si>
  <si>
    <t>2025-08-23</t>
  </si>
  <si>
    <t>2025-08-24</t>
  </si>
  <si>
    <t>B0028</t>
  </si>
  <si>
    <t>2025-03-21</t>
  </si>
  <si>
    <t>2025-03-28</t>
  </si>
  <si>
    <t>2025-03-31</t>
  </si>
  <si>
    <t>B0029</t>
  </si>
  <si>
    <t>2025-09-15</t>
  </si>
  <si>
    <t>2025-10-15</t>
  </si>
  <si>
    <t>2025-10-22</t>
  </si>
  <si>
    <t>B0030</t>
  </si>
  <si>
    <t>2025-12-12</t>
  </si>
  <si>
    <t>2026-01-09</t>
  </si>
  <si>
    <t>2026-01-11</t>
  </si>
  <si>
    <t>B0031</t>
  </si>
  <si>
    <t>2025-08-30</t>
  </si>
  <si>
    <t>B0032</t>
  </si>
  <si>
    <t>2025-03-09</t>
  </si>
  <si>
    <t>2025-04-06</t>
  </si>
  <si>
    <t>B0033</t>
  </si>
  <si>
    <t>2025-02-07</t>
  </si>
  <si>
    <t>B0034</t>
  </si>
  <si>
    <t>2025-09-09</t>
  </si>
  <si>
    <t>2025-09-14</t>
  </si>
  <si>
    <t>B0035</t>
  </si>
  <si>
    <t>2025-12-06</t>
  </si>
  <si>
    <t>B0036</t>
  </si>
  <si>
    <t>2025-06-25</t>
  </si>
  <si>
    <t>2025-07-02</t>
  </si>
  <si>
    <t>2025-07-08</t>
  </si>
  <si>
    <t>B0037</t>
  </si>
  <si>
    <t>2025-05-22</t>
  </si>
  <si>
    <t>2025-05-25</t>
  </si>
  <si>
    <t>B0038</t>
  </si>
  <si>
    <t>2025-10-16</t>
  </si>
  <si>
    <t>B0039</t>
  </si>
  <si>
    <t>2025-08-09</t>
  </si>
  <si>
    <t>2025-08-14</t>
  </si>
  <si>
    <t>2025-08-15</t>
  </si>
  <si>
    <t>B0040</t>
  </si>
  <si>
    <t>2025-07-01</t>
  </si>
  <si>
    <t>2025-07-26</t>
  </si>
  <si>
    <t>2025-07-31</t>
  </si>
  <si>
    <t>B0041</t>
  </si>
  <si>
    <t>2025-04-02</t>
  </si>
  <si>
    <t>2025-04-26</t>
  </si>
  <si>
    <t>2025-04-29</t>
  </si>
  <si>
    <t>B0042</t>
  </si>
  <si>
    <t>2025-08-12</t>
  </si>
  <si>
    <t>B0043</t>
  </si>
  <si>
    <t>2025-12-04</t>
  </si>
  <si>
    <t>2025-12-11</t>
  </si>
  <si>
    <t>B0044</t>
  </si>
  <si>
    <t>2025-12-14</t>
  </si>
  <si>
    <t>2026-01-10</t>
  </si>
  <si>
    <t>2026-01-15</t>
  </si>
  <si>
    <t>B0045</t>
  </si>
  <si>
    <t>2025-03-17</t>
  </si>
  <si>
    <t>B0046</t>
  </si>
  <si>
    <t>2025-10-23</t>
  </si>
  <si>
    <t>B0047</t>
  </si>
  <si>
    <t>2025-07-06</t>
  </si>
  <si>
    <t>2025-07-20</t>
  </si>
  <si>
    <t>2025-07-21</t>
  </si>
  <si>
    <t>B0048</t>
  </si>
  <si>
    <t>2025-06-17</t>
  </si>
  <si>
    <t>2025-06-30</t>
  </si>
  <si>
    <t>B0049</t>
  </si>
  <si>
    <t>2025-11-12</t>
  </si>
  <si>
    <t>2025-12-01</t>
  </si>
  <si>
    <t>B0050</t>
  </si>
  <si>
    <t>2025-08-27</t>
  </si>
  <si>
    <t>B0051</t>
  </si>
  <si>
    <t>2025-02-17</t>
  </si>
  <si>
    <t>2025-03-16</t>
  </si>
  <si>
    <t>2025-03-23</t>
  </si>
  <si>
    <t>B0052</t>
  </si>
  <si>
    <t>2025-09-01</t>
  </si>
  <si>
    <t>2025-09-28</t>
  </si>
  <si>
    <t>B0053</t>
  </si>
  <si>
    <t>2025-09-24</t>
  </si>
  <si>
    <t>B0054</t>
  </si>
  <si>
    <t>2025-02-13</t>
  </si>
  <si>
    <t>2025-02-15</t>
  </si>
  <si>
    <t>B0055</t>
  </si>
  <si>
    <t>2025-11-10</t>
  </si>
  <si>
    <t>2025-12-07</t>
  </si>
  <si>
    <t>2025-12-13</t>
  </si>
  <si>
    <t>B0056</t>
  </si>
  <si>
    <t>2025-05-13</t>
  </si>
  <si>
    <t>2025-06-07</t>
  </si>
  <si>
    <t>2025-06-09</t>
  </si>
  <si>
    <t>B0057</t>
  </si>
  <si>
    <t>2025-05-27</t>
  </si>
  <si>
    <t>2025-06-04</t>
  </si>
  <si>
    <t>B0058</t>
  </si>
  <si>
    <t>2026-01-02</t>
  </si>
  <si>
    <t>B0059</t>
  </si>
  <si>
    <t>2025-04-16</t>
  </si>
  <si>
    <t>2025-05-17</t>
  </si>
  <si>
    <t>B0060</t>
  </si>
  <si>
    <t>2025-06-02</t>
  </si>
  <si>
    <t>2025-06-27</t>
  </si>
  <si>
    <t>B0061</t>
  </si>
  <si>
    <t>2025-05-20</t>
  </si>
  <si>
    <t>2025-06-03</t>
  </si>
  <si>
    <t>B0062</t>
  </si>
  <si>
    <t>B0063</t>
  </si>
  <si>
    <t>2025-05-14</t>
  </si>
  <si>
    <t>2025-05-30</t>
  </si>
  <si>
    <t>B0064</t>
  </si>
  <si>
    <t>2025-08-29</t>
  </si>
  <si>
    <t>2025-09-05</t>
  </si>
  <si>
    <t>B0065</t>
  </si>
  <si>
    <t>2025-05-07</t>
  </si>
  <si>
    <t>2025-05-21</t>
  </si>
  <si>
    <t>B0066</t>
  </si>
  <si>
    <t>2025-09-19</t>
  </si>
  <si>
    <t>2025-09-22</t>
  </si>
  <si>
    <t>B0067</t>
  </si>
  <si>
    <t>2025-06-28</t>
  </si>
  <si>
    <t>2025-07-04</t>
  </si>
  <si>
    <t>B0068</t>
  </si>
  <si>
    <t>2025-02-22</t>
  </si>
  <si>
    <t>B0069</t>
  </si>
  <si>
    <t>2025-12-05</t>
  </si>
  <si>
    <t>2025-12-17</t>
  </si>
  <si>
    <t>2025-12-18</t>
  </si>
  <si>
    <t>B0070</t>
  </si>
  <si>
    <t>2025-11-22</t>
  </si>
  <si>
    <t>2025-12-21</t>
  </si>
  <si>
    <t>2025-12-28</t>
  </si>
  <si>
    <t>B0071</t>
  </si>
  <si>
    <t>2025-09-17</t>
  </si>
  <si>
    <t>B0072</t>
  </si>
  <si>
    <t>2025-08-26</t>
  </si>
  <si>
    <t>B0073</t>
  </si>
  <si>
    <t>2025-07-27</t>
  </si>
  <si>
    <t>2025-07-30</t>
  </si>
  <si>
    <t>B0074</t>
  </si>
  <si>
    <t>B0075</t>
  </si>
  <si>
    <t>2025-05-31</t>
  </si>
  <si>
    <t>2025-06-08</t>
  </si>
  <si>
    <t>2025-06-12</t>
  </si>
  <si>
    <t>B0076</t>
  </si>
  <si>
    <t>2025-08-06</t>
  </si>
  <si>
    <t>2025-09-04</t>
  </si>
  <si>
    <t>B0077</t>
  </si>
  <si>
    <t>2025-04-09</t>
  </si>
  <si>
    <t>2025-04-20</t>
  </si>
  <si>
    <t>2025-04-21</t>
  </si>
  <si>
    <t>B0078</t>
  </si>
  <si>
    <t>2025-06-15</t>
  </si>
  <si>
    <t>2025-06-20</t>
  </si>
  <si>
    <t>B0079</t>
  </si>
  <si>
    <t>2025-06-05</t>
  </si>
  <si>
    <t>2025-06-11</t>
  </si>
  <si>
    <t>B0080</t>
  </si>
  <si>
    <t>2025-11-23</t>
  </si>
  <si>
    <t>B0081</t>
  </si>
  <si>
    <t>B0082</t>
  </si>
  <si>
    <t>2025-11-19</t>
  </si>
  <si>
    <t>B0083</t>
  </si>
  <si>
    <t>2025-11-27</t>
  </si>
  <si>
    <t>B0084</t>
  </si>
  <si>
    <t>2025-06-06</t>
  </si>
  <si>
    <t>B0085</t>
  </si>
  <si>
    <t>B0086</t>
  </si>
  <si>
    <t>2025-06-01</t>
  </si>
  <si>
    <t>B0087</t>
  </si>
  <si>
    <t>2025-11-17</t>
  </si>
  <si>
    <t>B0088</t>
  </si>
  <si>
    <t>2025-01-31</t>
  </si>
  <si>
    <t>2025-02-06</t>
  </si>
  <si>
    <t>B0089</t>
  </si>
  <si>
    <t>2026-01-07</t>
  </si>
  <si>
    <t>B0090</t>
  </si>
  <si>
    <t>2025-11-15</t>
  </si>
  <si>
    <t>2025-11-16</t>
  </si>
  <si>
    <t>B0091</t>
  </si>
  <si>
    <t>2025-10-25</t>
  </si>
  <si>
    <t>2025-11-01</t>
  </si>
  <si>
    <t>B0092</t>
  </si>
  <si>
    <t>2025-12-23</t>
  </si>
  <si>
    <t>B0093</t>
  </si>
  <si>
    <t>2025-06-18</t>
  </si>
  <si>
    <t>B0094</t>
  </si>
  <si>
    <t>2025-05-10</t>
  </si>
  <si>
    <t>B0095</t>
  </si>
  <si>
    <t>2025-09-23</t>
  </si>
  <si>
    <t>2025-10-05</t>
  </si>
  <si>
    <t>2025-10-10</t>
  </si>
  <si>
    <t>B0096</t>
  </si>
  <si>
    <t>B0097</t>
  </si>
  <si>
    <t>2025-10-11</t>
  </si>
  <si>
    <t>B0098</t>
  </si>
  <si>
    <t>2025-06-16</t>
  </si>
  <si>
    <t>2025-06-22</t>
  </si>
  <si>
    <t>B0099</t>
  </si>
  <si>
    <t>2025-07-23</t>
  </si>
  <si>
    <t>2025-07-28</t>
  </si>
  <si>
    <t>B0100</t>
  </si>
  <si>
    <t>2025-01-12</t>
  </si>
  <si>
    <t>2025-01-18</t>
  </si>
  <si>
    <t>B0101</t>
  </si>
  <si>
    <t>2025-07-07</t>
  </si>
  <si>
    <t>2025-07-12</t>
  </si>
  <si>
    <t>B0102</t>
  </si>
  <si>
    <t>2025-08-01</t>
  </si>
  <si>
    <t>B0103</t>
  </si>
  <si>
    <t>2025-10-04</t>
  </si>
  <si>
    <t>2025-10-07</t>
  </si>
  <si>
    <t>B0104</t>
  </si>
  <si>
    <t>2025-07-29</t>
  </si>
  <si>
    <t>B0105</t>
  </si>
  <si>
    <t>2025-07-22</t>
  </si>
  <si>
    <t>B0106</t>
  </si>
  <si>
    <t>2025-05-01</t>
  </si>
  <si>
    <t>2025-05-28</t>
  </si>
  <si>
    <t>B0107</t>
  </si>
  <si>
    <t>2025-08-16</t>
  </si>
  <si>
    <t>2025-08-22</t>
  </si>
  <si>
    <t>2025-08-28</t>
  </si>
  <si>
    <t>B0108</t>
  </si>
  <si>
    <t>B0109</t>
  </si>
  <si>
    <t>B0110</t>
  </si>
  <si>
    <t>2025-05-11</t>
  </si>
  <si>
    <t>B0111</t>
  </si>
  <si>
    <t>B0112</t>
  </si>
  <si>
    <t>B0113</t>
  </si>
  <si>
    <t>2025-01-05</t>
  </si>
  <si>
    <t>2025-01-24</t>
  </si>
  <si>
    <t>B0114</t>
  </si>
  <si>
    <t>2025-04-23</t>
  </si>
  <si>
    <t>2025-05-16</t>
  </si>
  <si>
    <t>B0115</t>
  </si>
  <si>
    <t>B0116</t>
  </si>
  <si>
    <t>2025-04-07</t>
  </si>
  <si>
    <t>B0117</t>
  </si>
  <si>
    <t>2025-10-03</t>
  </si>
  <si>
    <t>B0118</t>
  </si>
  <si>
    <t>2025-10-13</t>
  </si>
  <si>
    <t>2025-10-26</t>
  </si>
  <si>
    <t>B0119</t>
  </si>
  <si>
    <t>2025-10-27</t>
  </si>
  <si>
    <t>B0120</t>
  </si>
  <si>
    <t>B0121</t>
  </si>
  <si>
    <t>2025-01-20</t>
  </si>
  <si>
    <t>2025-01-30</t>
  </si>
  <si>
    <t>2025-02-03</t>
  </si>
  <si>
    <t>B0122</t>
  </si>
  <si>
    <t>2025-10-28</t>
  </si>
  <si>
    <t>2025-11-21</t>
  </si>
  <si>
    <t>B0123</t>
  </si>
  <si>
    <t>2025-12-20</t>
  </si>
  <si>
    <t>2026-01-01</t>
  </si>
  <si>
    <t>2026-01-03</t>
  </si>
  <si>
    <t>B0124</t>
  </si>
  <si>
    <t>2025-02-14</t>
  </si>
  <si>
    <t>B0125</t>
  </si>
  <si>
    <t>2025-02-24</t>
  </si>
  <si>
    <t>B0126</t>
  </si>
  <si>
    <t>2025-04-30</t>
  </si>
  <si>
    <t>2025-05-18</t>
  </si>
  <si>
    <t>B0127</t>
  </si>
  <si>
    <t>2025-04-04</t>
  </si>
  <si>
    <t>2025-04-10</t>
  </si>
  <si>
    <t>B0128</t>
  </si>
  <si>
    <t>B0129</t>
  </si>
  <si>
    <t>2025-08-20</t>
  </si>
  <si>
    <t>2025-09-06</t>
  </si>
  <si>
    <t>2025-09-08</t>
  </si>
  <si>
    <t>B0130</t>
  </si>
  <si>
    <t>B0131</t>
  </si>
  <si>
    <t>2025-11-08</t>
  </si>
  <si>
    <t>B0132</t>
  </si>
  <si>
    <t>B0133</t>
  </si>
  <si>
    <t>B0134</t>
  </si>
  <si>
    <t>2025-08-07</t>
  </si>
  <si>
    <t>2025-08-18</t>
  </si>
  <si>
    <t>B0135</t>
  </si>
  <si>
    <t>2025-08-10</t>
  </si>
  <si>
    <t>B0136</t>
  </si>
  <si>
    <t>B0137</t>
  </si>
  <si>
    <t>2025-02-23</t>
  </si>
  <si>
    <t>2025-03-14</t>
  </si>
  <si>
    <t>2025-03-19</t>
  </si>
  <si>
    <t>B0138</t>
  </si>
  <si>
    <t>2025-02-28</t>
  </si>
  <si>
    <t>2025-03-25</t>
  </si>
  <si>
    <t>B0139</t>
  </si>
  <si>
    <t>B0140</t>
  </si>
  <si>
    <t>2025-04-03</t>
  </si>
  <si>
    <t>2025-05-03</t>
  </si>
  <si>
    <t>B0141</t>
  </si>
  <si>
    <t>B0142</t>
  </si>
  <si>
    <t>2025-03-27</t>
  </si>
  <si>
    <t>B0143</t>
  </si>
  <si>
    <t>2025-11-26</t>
  </si>
  <si>
    <t>B0144</t>
  </si>
  <si>
    <t>2026-01-05</t>
  </si>
  <si>
    <t>B0145</t>
  </si>
  <si>
    <t>2025-01-04</t>
  </si>
  <si>
    <t>2025-01-11</t>
  </si>
  <si>
    <t>2025-01-14</t>
  </si>
  <si>
    <t>B0146</t>
  </si>
  <si>
    <t>2025-08-17</t>
  </si>
  <si>
    <t>B0147</t>
  </si>
  <si>
    <t>B0148</t>
  </si>
  <si>
    <t>2025-12-30</t>
  </si>
  <si>
    <t>2026-01-20</t>
  </si>
  <si>
    <t>2026-01-24</t>
  </si>
  <si>
    <t>B0149</t>
  </si>
  <si>
    <t>2025-03-01</t>
  </si>
  <si>
    <t>2025-03-08</t>
  </si>
  <si>
    <t>B0150</t>
  </si>
  <si>
    <t>2025-06-23</t>
  </si>
  <si>
    <t>B0151</t>
  </si>
  <si>
    <t>2025-06-29</t>
  </si>
  <si>
    <t>B0152</t>
  </si>
  <si>
    <t>B0153</t>
  </si>
  <si>
    <t>B0154</t>
  </si>
  <si>
    <t>2025-09-13</t>
  </si>
  <si>
    <t>B0155</t>
  </si>
  <si>
    <t>B0156</t>
  </si>
  <si>
    <t>2025-09-18</t>
  </si>
  <si>
    <t>B0157</t>
  </si>
  <si>
    <t>2025-09-20</t>
  </si>
  <si>
    <t>B0158</t>
  </si>
  <si>
    <t>B0159</t>
  </si>
  <si>
    <t>B0160</t>
  </si>
  <si>
    <t>2025-05-26</t>
  </si>
  <si>
    <t>2025-06-10</t>
  </si>
  <si>
    <t>B0161</t>
  </si>
  <si>
    <t>2025-07-09</t>
  </si>
  <si>
    <t>B0162</t>
  </si>
  <si>
    <t>B0163</t>
  </si>
  <si>
    <t>2025-10-01</t>
  </si>
  <si>
    <t>B0164</t>
  </si>
  <si>
    <t>B0165</t>
  </si>
  <si>
    <t>B0166</t>
  </si>
  <si>
    <t>2025-08-11</t>
  </si>
  <si>
    <t>B0167</t>
  </si>
  <si>
    <t>2025-10-09</t>
  </si>
  <si>
    <t>2025-10-12</t>
  </si>
  <si>
    <t>B0168</t>
  </si>
  <si>
    <t>B0169</t>
  </si>
  <si>
    <t>2025-07-10</t>
  </si>
  <si>
    <t>B0170</t>
  </si>
  <si>
    <t>2025-09-25</t>
  </si>
  <si>
    <t>B0171</t>
  </si>
  <si>
    <t>2025-08-08</t>
  </si>
  <si>
    <t>B0172</t>
  </si>
  <si>
    <t>B0173</t>
  </si>
  <si>
    <t>B0174</t>
  </si>
  <si>
    <t>B0175</t>
  </si>
  <si>
    <t>2025-11-20</t>
  </si>
  <si>
    <t>B0176</t>
  </si>
  <si>
    <t>2025-05-04</t>
  </si>
  <si>
    <t>2025-05-23</t>
  </si>
  <si>
    <t>B0177</t>
  </si>
  <si>
    <t>B0178</t>
  </si>
  <si>
    <t>B0179</t>
  </si>
  <si>
    <t>2025-12-02</t>
  </si>
  <si>
    <t>2025-12-09</t>
  </si>
  <si>
    <t>B0180</t>
  </si>
  <si>
    <t>2025-01-19</t>
  </si>
  <si>
    <t>2025-01-29</t>
  </si>
  <si>
    <t>B0181</t>
  </si>
  <si>
    <t>2025-05-12</t>
  </si>
  <si>
    <t>B0182</t>
  </si>
  <si>
    <t>B0183</t>
  </si>
  <si>
    <t>B0184</t>
  </si>
  <si>
    <t>2025-10-20</t>
  </si>
  <si>
    <t>B0185</t>
  </si>
  <si>
    <t>B0186</t>
  </si>
  <si>
    <t>2025-02-08</t>
  </si>
  <si>
    <t>B0187</t>
  </si>
  <si>
    <t>2025-01-23</t>
  </si>
  <si>
    <t>B0188</t>
  </si>
  <si>
    <t>2025-12-29</t>
  </si>
  <si>
    <t>B0189</t>
  </si>
  <si>
    <t>B0190</t>
  </si>
  <si>
    <t>2025-05-15</t>
  </si>
  <si>
    <t>B0191</t>
  </si>
  <si>
    <t>B0192</t>
  </si>
  <si>
    <t>B0193</t>
  </si>
  <si>
    <t>2025-04-13</t>
  </si>
  <si>
    <t>2025-05-09</t>
  </si>
  <si>
    <t>B0194</t>
  </si>
  <si>
    <t>B0195</t>
  </si>
  <si>
    <t>2025-03-06</t>
  </si>
  <si>
    <t>B0196</t>
  </si>
  <si>
    <t>2025-03-22</t>
  </si>
  <si>
    <t>B0197</t>
  </si>
  <si>
    <t>B0198</t>
  </si>
  <si>
    <t>2025-03-30</t>
  </si>
  <si>
    <t>B0199</t>
  </si>
  <si>
    <t>2025-12-24</t>
  </si>
  <si>
    <t>B0200</t>
  </si>
  <si>
    <t>2025-11-30</t>
  </si>
  <si>
    <t>B0201</t>
  </si>
  <si>
    <t>2025-11-25</t>
  </si>
  <si>
    <t>B0202</t>
  </si>
  <si>
    <t>B0203</t>
  </si>
  <si>
    <t>2025-07-11</t>
  </si>
  <si>
    <t>B0204</t>
  </si>
  <si>
    <t>2025-08-19</t>
  </si>
  <si>
    <t>B0205</t>
  </si>
  <si>
    <t>B0206</t>
  </si>
  <si>
    <t>2025-01-15</t>
  </si>
  <si>
    <t>B0207</t>
  </si>
  <si>
    <t>B0208</t>
  </si>
  <si>
    <t>B0209</t>
  </si>
  <si>
    <t>2025-10-21</t>
  </si>
  <si>
    <t>B0210</t>
  </si>
  <si>
    <t>2025-03-11</t>
  </si>
  <si>
    <t>B0211</t>
  </si>
  <si>
    <t>B0212</t>
  </si>
  <si>
    <t>2025-07-17</t>
  </si>
  <si>
    <t>B0213</t>
  </si>
  <si>
    <t>2026-01-17</t>
  </si>
  <si>
    <t>B0214</t>
  </si>
  <si>
    <t>B0215</t>
  </si>
  <si>
    <t>2025-11-11</t>
  </si>
  <si>
    <t>B0216</t>
  </si>
  <si>
    <t>B0217</t>
  </si>
  <si>
    <t>B0218</t>
  </si>
  <si>
    <t>B0219</t>
  </si>
  <si>
    <t>B0220</t>
  </si>
  <si>
    <t>2025-06-13</t>
  </si>
  <si>
    <t>B0221</t>
  </si>
  <si>
    <t>B0222</t>
  </si>
  <si>
    <t>2025-08-21</t>
  </si>
  <si>
    <t>B0223</t>
  </si>
  <si>
    <t>2025-09-03</t>
  </si>
  <si>
    <t>2025-09-12</t>
  </si>
  <si>
    <t>B0224</t>
  </si>
  <si>
    <t>2025-05-05</t>
  </si>
  <si>
    <t>B0225</t>
  </si>
  <si>
    <t>B0226</t>
  </si>
  <si>
    <t>B0227</t>
  </si>
  <si>
    <t>2025-10-31</t>
  </si>
  <si>
    <t>B0228</t>
  </si>
  <si>
    <t>2025-05-06</t>
  </si>
  <si>
    <t>B0229</t>
  </si>
  <si>
    <t>B0230</t>
  </si>
  <si>
    <t>2025-06-19</t>
  </si>
  <si>
    <t>B0231</t>
  </si>
  <si>
    <t>2025-10-18</t>
  </si>
  <si>
    <t>B0232</t>
  </si>
  <si>
    <t>B0233</t>
  </si>
  <si>
    <t>B0234</t>
  </si>
  <si>
    <t>B0235</t>
  </si>
  <si>
    <t>B0236</t>
  </si>
  <si>
    <t>B0237</t>
  </si>
  <si>
    <t>2025-09-27</t>
  </si>
  <si>
    <t>B0238</t>
  </si>
  <si>
    <t>B0239</t>
  </si>
  <si>
    <t>B0240</t>
  </si>
  <si>
    <t>2025-10-14</t>
  </si>
  <si>
    <t>2025-11-04</t>
  </si>
  <si>
    <t>B0241</t>
  </si>
  <si>
    <t>B0242</t>
  </si>
  <si>
    <t>2025-04-28</t>
  </si>
  <si>
    <t>B0243</t>
  </si>
  <si>
    <t>2025-02-11</t>
  </si>
  <si>
    <t>2025-03-05</t>
  </si>
  <si>
    <t>B0244</t>
  </si>
  <si>
    <t>2025-04-25</t>
  </si>
  <si>
    <t>B0245</t>
  </si>
  <si>
    <t>B0246</t>
  </si>
  <si>
    <t>B0247</t>
  </si>
  <si>
    <t>B0248</t>
  </si>
  <si>
    <t>B0249</t>
  </si>
  <si>
    <t>B0250</t>
  </si>
  <si>
    <t>B0251</t>
  </si>
  <si>
    <t>2025-04-05</t>
  </si>
  <si>
    <t>B0252</t>
  </si>
  <si>
    <t>2025-08-02</t>
  </si>
  <si>
    <t>B0253</t>
  </si>
  <si>
    <t>B0254</t>
  </si>
  <si>
    <t>B0255</t>
  </si>
  <si>
    <t>2025-01-08</t>
  </si>
  <si>
    <t>2025-01-17</t>
  </si>
  <si>
    <t>B0256</t>
  </si>
  <si>
    <t>B0257</t>
  </si>
  <si>
    <t>B0258</t>
  </si>
  <si>
    <t>B0259</t>
  </si>
  <si>
    <t>B0260</t>
  </si>
  <si>
    <t>B0261</t>
  </si>
  <si>
    <t>2025-03-13</t>
  </si>
  <si>
    <t>2025-04-11</t>
  </si>
  <si>
    <t>B0262</t>
  </si>
  <si>
    <t>B0263</t>
  </si>
  <si>
    <t>2025-07-18</t>
  </si>
  <si>
    <t>B0264</t>
  </si>
  <si>
    <t>2025-01-07</t>
  </si>
  <si>
    <t>2025-01-13</t>
  </si>
  <si>
    <t>B0265</t>
  </si>
  <si>
    <t>B0266</t>
  </si>
  <si>
    <t>B0267</t>
  </si>
  <si>
    <t>B0268</t>
  </si>
  <si>
    <t>2025-12-26</t>
  </si>
  <si>
    <t>B0269</t>
  </si>
  <si>
    <t>B0270</t>
  </si>
  <si>
    <t>2025-12-31</t>
  </si>
  <si>
    <t>2026-01-27</t>
  </si>
  <si>
    <t>2026-01-31</t>
  </si>
  <si>
    <t>B0271</t>
  </si>
  <si>
    <t>B0272</t>
  </si>
  <si>
    <t>2025-02-20</t>
  </si>
  <si>
    <t>B0273</t>
  </si>
  <si>
    <t>B0274</t>
  </si>
  <si>
    <t>B0275</t>
  </si>
  <si>
    <t>2026-01-26</t>
  </si>
  <si>
    <t>2026-02-01</t>
  </si>
  <si>
    <t>B0276</t>
  </si>
  <si>
    <t>B0277</t>
  </si>
  <si>
    <t>B0278</t>
  </si>
  <si>
    <t>B0279</t>
  </si>
  <si>
    <t>B0280</t>
  </si>
  <si>
    <t>B0281</t>
  </si>
  <si>
    <t>2025-03-04</t>
  </si>
  <si>
    <t>B0282</t>
  </si>
  <si>
    <t>B0283</t>
  </si>
  <si>
    <t>B0284</t>
  </si>
  <si>
    <t>B0285</t>
  </si>
  <si>
    <t>B0286</t>
  </si>
  <si>
    <t>2025-12-03</t>
  </si>
  <si>
    <t>B0287</t>
  </si>
  <si>
    <t>B0288</t>
  </si>
  <si>
    <t>B0289</t>
  </si>
  <si>
    <t>B0290</t>
  </si>
  <si>
    <t>2025-09-02</t>
  </si>
  <si>
    <t>B0291</t>
  </si>
  <si>
    <t>B0292</t>
  </si>
  <si>
    <t>B0293</t>
  </si>
  <si>
    <t>2026-01-04</t>
  </si>
  <si>
    <t>B0294</t>
  </si>
  <si>
    <t>B0295</t>
  </si>
  <si>
    <t>B0296</t>
  </si>
  <si>
    <t>2025-05-02</t>
  </si>
  <si>
    <t>B0297</t>
  </si>
  <si>
    <t>B0298</t>
  </si>
  <si>
    <t>B0299</t>
  </si>
  <si>
    <t>B0300</t>
  </si>
  <si>
    <t>B0301</t>
  </si>
  <si>
    <t>B0302</t>
  </si>
  <si>
    <t>B0303</t>
  </si>
  <si>
    <t>B0304</t>
  </si>
  <si>
    <t>2025-04-22</t>
  </si>
  <si>
    <t>B0305</t>
  </si>
  <si>
    <t>B0306</t>
  </si>
  <si>
    <t>B0307</t>
  </si>
  <si>
    <t>B0308</t>
  </si>
  <si>
    <t>2025-04-15</t>
  </si>
  <si>
    <t>2025-04-17</t>
  </si>
  <si>
    <t>B0309</t>
  </si>
  <si>
    <t>B0310</t>
  </si>
  <si>
    <t>B0311</t>
  </si>
  <si>
    <t>B0312</t>
  </si>
  <si>
    <t>B0313</t>
  </si>
  <si>
    <t>B0314</t>
  </si>
  <si>
    <t>2025-05-08</t>
  </si>
  <si>
    <t>B0315</t>
  </si>
  <si>
    <t>2025-07-24</t>
  </si>
  <si>
    <t>B0316</t>
  </si>
  <si>
    <t>B0317</t>
  </si>
  <si>
    <t>B0318</t>
  </si>
  <si>
    <t>B0319</t>
  </si>
  <si>
    <t>B0320</t>
  </si>
  <si>
    <t>2025-02-18</t>
  </si>
  <si>
    <t>B0321</t>
  </si>
  <si>
    <t>B0322</t>
  </si>
  <si>
    <t>B0323</t>
  </si>
  <si>
    <t>B0324</t>
  </si>
  <si>
    <t>B0325</t>
  </si>
  <si>
    <t>B0326</t>
  </si>
  <si>
    <t>B0327</t>
  </si>
  <si>
    <t>2025-06-21</t>
  </si>
  <si>
    <t>B0328</t>
  </si>
  <si>
    <t>B0329</t>
  </si>
  <si>
    <t>2025-08-05</t>
  </si>
  <si>
    <t>B0330</t>
  </si>
  <si>
    <t>B0331</t>
  </si>
  <si>
    <t>B0332</t>
  </si>
  <si>
    <t>B0333</t>
  </si>
  <si>
    <t>B0334</t>
  </si>
  <si>
    <t>B0335</t>
  </si>
  <si>
    <t>B0336</t>
  </si>
  <si>
    <t>2025-04-27</t>
  </si>
  <si>
    <t>B0337</t>
  </si>
  <si>
    <t>2025-03-18</t>
  </si>
  <si>
    <t>B0338</t>
  </si>
  <si>
    <t>B0339</t>
  </si>
  <si>
    <t>B0340</t>
  </si>
  <si>
    <t>B0341</t>
  </si>
  <si>
    <t>B0342</t>
  </si>
  <si>
    <t>B0343</t>
  </si>
  <si>
    <t>B0344</t>
  </si>
  <si>
    <t>B0345</t>
  </si>
  <si>
    <t>B0346</t>
  </si>
  <si>
    <t>B0347</t>
  </si>
  <si>
    <t>B0348</t>
  </si>
  <si>
    <t>B0349</t>
  </si>
  <si>
    <t>B0350</t>
  </si>
  <si>
    <t>B0351</t>
  </si>
  <si>
    <t>2025-04-24</t>
  </si>
  <si>
    <t>B0352</t>
  </si>
  <si>
    <t>B0353</t>
  </si>
  <si>
    <t>B0354</t>
  </si>
  <si>
    <t>B0355</t>
  </si>
  <si>
    <t>B0356</t>
  </si>
  <si>
    <t>B0357</t>
  </si>
  <si>
    <t>2025-10-06</t>
  </si>
  <si>
    <t>B0358</t>
  </si>
  <si>
    <t>B0359</t>
  </si>
  <si>
    <t>B0360</t>
  </si>
  <si>
    <t>B0361</t>
  </si>
  <si>
    <t>B0362</t>
  </si>
  <si>
    <t>B0363</t>
  </si>
  <si>
    <t>B0364</t>
  </si>
  <si>
    <t>2025-02-26</t>
  </si>
  <si>
    <t>B0365</t>
  </si>
  <si>
    <t>B0366</t>
  </si>
  <si>
    <t>B0367</t>
  </si>
  <si>
    <t>2026-01-18</t>
  </si>
  <si>
    <t>B0368</t>
  </si>
  <si>
    <t>B0369</t>
  </si>
  <si>
    <t>B0370</t>
  </si>
  <si>
    <t>2025-01-25</t>
  </si>
  <si>
    <t>B0371</t>
  </si>
  <si>
    <t>B0372</t>
  </si>
  <si>
    <t>B0373</t>
  </si>
  <si>
    <t>2025-10-08</t>
  </si>
  <si>
    <t>B0374</t>
  </si>
  <si>
    <t>B0375</t>
  </si>
  <si>
    <t>B0376</t>
  </si>
  <si>
    <t>B0377</t>
  </si>
  <si>
    <t>B0378</t>
  </si>
  <si>
    <t>B0379</t>
  </si>
  <si>
    <t>B0380</t>
  </si>
  <si>
    <t>B0381</t>
  </si>
  <si>
    <t>2025-10-24</t>
  </si>
  <si>
    <t>B0382</t>
  </si>
  <si>
    <t>B0383</t>
  </si>
  <si>
    <t>B0384</t>
  </si>
  <si>
    <t>B0385</t>
  </si>
  <si>
    <t>2025-02-02</t>
  </si>
  <si>
    <t>B0386</t>
  </si>
  <si>
    <t>B0387</t>
  </si>
  <si>
    <t>B0388</t>
  </si>
  <si>
    <t>B0389</t>
  </si>
  <si>
    <t>B0390</t>
  </si>
  <si>
    <t>2025-06-14</t>
  </si>
  <si>
    <t>B0391</t>
  </si>
  <si>
    <t>B0392</t>
  </si>
  <si>
    <t>2025-04-12</t>
  </si>
  <si>
    <t>B0393</t>
  </si>
  <si>
    <t>B0394</t>
  </si>
  <si>
    <t>B0395</t>
  </si>
  <si>
    <t>B0396</t>
  </si>
  <si>
    <t>B0397</t>
  </si>
  <si>
    <t>B0398</t>
  </si>
  <si>
    <t>2026-01-23</t>
  </si>
  <si>
    <t>2026-01-29</t>
  </si>
  <si>
    <t>B0399</t>
  </si>
  <si>
    <t>B0400</t>
  </si>
  <si>
    <t>B0401</t>
  </si>
  <si>
    <t>B0402</t>
  </si>
  <si>
    <t>B0403</t>
  </si>
  <si>
    <t>B0404</t>
  </si>
  <si>
    <t>B0405</t>
  </si>
  <si>
    <t>B0406</t>
  </si>
  <si>
    <t>B0407</t>
  </si>
  <si>
    <t>B0408</t>
  </si>
  <si>
    <t>2025-07-14</t>
  </si>
  <si>
    <t>B0409</t>
  </si>
  <si>
    <t>B0410</t>
  </si>
  <si>
    <t>B0411</t>
  </si>
  <si>
    <t>B0412</t>
  </si>
  <si>
    <t>B0413</t>
  </si>
  <si>
    <t>B0414</t>
  </si>
  <si>
    <t>B0415</t>
  </si>
  <si>
    <t>B0416</t>
  </si>
  <si>
    <t>B0417</t>
  </si>
  <si>
    <t>B0418</t>
  </si>
  <si>
    <t>B0419</t>
  </si>
  <si>
    <t>2025-05-29</t>
  </si>
  <si>
    <t>B0420</t>
  </si>
  <si>
    <t>2026-01-13</t>
  </si>
  <si>
    <t>B0421</t>
  </si>
  <si>
    <t>B0422</t>
  </si>
  <si>
    <t>B0423</t>
  </si>
  <si>
    <t>2025-01-21</t>
  </si>
  <si>
    <t>B0424</t>
  </si>
  <si>
    <t>B0425</t>
  </si>
  <si>
    <t>B0426</t>
  </si>
  <si>
    <t>B0427</t>
  </si>
  <si>
    <t>B0428</t>
  </si>
  <si>
    <t>B0429</t>
  </si>
  <si>
    <t>B0430</t>
  </si>
  <si>
    <t>B0431</t>
  </si>
  <si>
    <t>2025-04-14</t>
  </si>
  <si>
    <t>B0432</t>
  </si>
  <si>
    <t>B0433</t>
  </si>
  <si>
    <t>B0434</t>
  </si>
  <si>
    <t>B0435</t>
  </si>
  <si>
    <t>B0436</t>
  </si>
  <si>
    <t>B0437</t>
  </si>
  <si>
    <t>B0438</t>
  </si>
  <si>
    <t>B0439</t>
  </si>
  <si>
    <t>B0440</t>
  </si>
  <si>
    <t>B0441</t>
  </si>
  <si>
    <t>B0442</t>
  </si>
  <si>
    <t>B0443</t>
  </si>
  <si>
    <t>B0444</t>
  </si>
  <si>
    <t>B0445</t>
  </si>
  <si>
    <t>B0446</t>
  </si>
  <si>
    <t>B0447</t>
  </si>
  <si>
    <t>B0448</t>
  </si>
  <si>
    <t>B0449</t>
  </si>
  <si>
    <t>B0450</t>
  </si>
  <si>
    <t>B0451</t>
  </si>
  <si>
    <t>B0452</t>
  </si>
  <si>
    <t>B0453</t>
  </si>
  <si>
    <t>2025-04-18</t>
  </si>
  <si>
    <t>B0454</t>
  </si>
  <si>
    <t>B0455</t>
  </si>
  <si>
    <t>B0456</t>
  </si>
  <si>
    <t>B0457</t>
  </si>
  <si>
    <t>2025-03-03</t>
  </si>
  <si>
    <t>B0458</t>
  </si>
  <si>
    <t>B0459</t>
  </si>
  <si>
    <t>2025-02-12</t>
  </si>
  <si>
    <t>B0460</t>
  </si>
  <si>
    <t>B0461</t>
  </si>
  <si>
    <t>B0462</t>
  </si>
  <si>
    <t>B0463</t>
  </si>
  <si>
    <t>B0464</t>
  </si>
  <si>
    <t>B0465</t>
  </si>
  <si>
    <t>B0466</t>
  </si>
  <si>
    <t>B0467</t>
  </si>
  <si>
    <t>B0468</t>
  </si>
  <si>
    <t>B0469</t>
  </si>
  <si>
    <t>2025-01-06</t>
  </si>
  <si>
    <t>B0470</t>
  </si>
  <si>
    <t>B0471</t>
  </si>
  <si>
    <t>B0472</t>
  </si>
  <si>
    <t>B0473</t>
  </si>
  <si>
    <t>B0474</t>
  </si>
  <si>
    <t>B0475</t>
  </si>
  <si>
    <t>B0476</t>
  </si>
  <si>
    <t>B0477</t>
  </si>
  <si>
    <t>B0478</t>
  </si>
  <si>
    <t>B0479</t>
  </si>
  <si>
    <t>B0480</t>
  </si>
  <si>
    <t>B0481</t>
  </si>
  <si>
    <t>B0482</t>
  </si>
  <si>
    <t>B0483</t>
  </si>
  <si>
    <t>B0484</t>
  </si>
  <si>
    <t>B0485</t>
  </si>
  <si>
    <t>B0486</t>
  </si>
  <si>
    <t>B0487</t>
  </si>
  <si>
    <t>B0488</t>
  </si>
  <si>
    <t>B0489</t>
  </si>
  <si>
    <t>B0490</t>
  </si>
  <si>
    <t>2025-11-03</t>
  </si>
  <si>
    <t>B0491</t>
  </si>
  <si>
    <t>B0492</t>
  </si>
  <si>
    <t>B0493</t>
  </si>
  <si>
    <t>2025-01-09</t>
  </si>
  <si>
    <t>2025-01-16</t>
  </si>
  <si>
    <t>B0494</t>
  </si>
  <si>
    <t>B0495</t>
  </si>
  <si>
    <t>B0496</t>
  </si>
  <si>
    <t>B0497</t>
  </si>
  <si>
    <t>B0498</t>
  </si>
  <si>
    <t>B0499</t>
  </si>
  <si>
    <t>B0500</t>
  </si>
  <si>
    <t>TOTAL REVENJUE</t>
  </si>
  <si>
    <t>TOTAL BOOKINGS</t>
  </si>
  <si>
    <t>OCCUPANCY RATE</t>
  </si>
  <si>
    <t>CANCELLATION RATE</t>
  </si>
  <si>
    <t>AVERAGE RATING</t>
  </si>
  <si>
    <t>AVERAGE STAY</t>
  </si>
  <si>
    <t>Row Labels</t>
  </si>
  <si>
    <t>(blank)</t>
  </si>
  <si>
    <t>Grand Total</t>
  </si>
  <si>
    <t>Sum of Revenue</t>
  </si>
  <si>
    <t>Count of Booking_ID</t>
  </si>
  <si>
    <t>Customer type</t>
  </si>
  <si>
    <t>Booking channel</t>
  </si>
  <si>
    <t>Room type</t>
  </si>
  <si>
    <t>Hotel name</t>
  </si>
  <si>
    <t>Month</t>
  </si>
  <si>
    <t>Average of Rating</t>
  </si>
  <si>
    <t>Average of Nights</t>
  </si>
  <si>
    <t>Details for Sum of Revenue - Booking_Date: 2025-01-18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</si>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</sst>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 #,##0.00"/>
  </numFmts>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165" fontId="0" fillId="0" borderId="0" xfId="0" applyNumberFormat="1"/>
    <xf numFmtId="0" fontId="1" fillId="0" borderId="0" xfId="0" applyFont="1"/>
    <xf numFmtId="0" fontId="2" fillId="0" borderId="0" xfId="0" applyFont="1"/>
    <xf numFmtId="10" fontId="2" fillId="0" borderId="0" xfId="0" applyNumberFormat="1" applyFont="1"/>
    <xf numFmtId="165"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0" borderId="0" xfId="0" applyFont="1"/>
  </cellXfs>
  <cellStyles count="1">
    <cellStyle name="Normal" xfId="0" builtinId="0"/>
  </cellStyles>
  <dxfs count="3">
    <dxf>
      <numFmt numFmtId="165" formatCode="&quot;₹&quot;\ #,##0.00"/>
    </dxf>
    <dxf>
      <numFmt numFmtId="165" formatCode="&quot;₹&quot;\ #,##0.00"/>
    </dxf>
    <dxf>
      <numFmt numFmtId="0" formatCode="General"/>
    </dxf>
  </dxfs>
  <tableStyles count="1" defaultTableStyle="TableStyleMedium9" defaultPivotStyle="PivotStyleLight16">
    <tableStyle name="Invisible" pivot="0" table="0" count="0" xr9:uid="{3B97257C-9295-4BF7-900D-22A6AE88FC7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_.xlsx.xlsx]Revenue by city!PivotTable1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city'!$A$4:$A$10</c:f>
              <c:strCache>
                <c:ptCount val="6"/>
                <c:pt idx="0">
                  <c:v>Bangalore</c:v>
                </c:pt>
                <c:pt idx="1">
                  <c:v>Chennai</c:v>
                </c:pt>
                <c:pt idx="2">
                  <c:v>Delhi</c:v>
                </c:pt>
                <c:pt idx="3">
                  <c:v>Hyderabad</c:v>
                </c:pt>
                <c:pt idx="4">
                  <c:v>Mumbai</c:v>
                </c:pt>
                <c:pt idx="5">
                  <c:v>(blank)</c:v>
                </c:pt>
              </c:strCache>
            </c:strRef>
          </c:cat>
          <c:val>
            <c:numRef>
              <c:f>'Revenue by city'!$B$4:$B$10</c:f>
              <c:numCache>
                <c:formatCode>General</c:formatCode>
                <c:ptCount val="6"/>
                <c:pt idx="0">
                  <c:v>2674500</c:v>
                </c:pt>
                <c:pt idx="1">
                  <c:v>1855500</c:v>
                </c:pt>
                <c:pt idx="2">
                  <c:v>2142000</c:v>
                </c:pt>
                <c:pt idx="3">
                  <c:v>2235000</c:v>
                </c:pt>
                <c:pt idx="4">
                  <c:v>2193500</c:v>
                </c:pt>
              </c:numCache>
            </c:numRef>
          </c:val>
          <c:extLst>
            <c:ext xmlns:c16="http://schemas.microsoft.com/office/drawing/2014/chart" uri="{C3380CC4-5D6E-409C-BE32-E72D297353CC}">
              <c16:uniqueId val="{00000000-5FCC-4BEB-A65F-C7E8D413D2CA}"/>
            </c:ext>
          </c:extLst>
        </c:ser>
        <c:dLbls>
          <c:showLegendKey val="0"/>
          <c:showVal val="0"/>
          <c:showCatName val="0"/>
          <c:showSerName val="0"/>
          <c:showPercent val="0"/>
          <c:showBubbleSize val="0"/>
        </c:dLbls>
        <c:gapWidth val="219"/>
        <c:overlap val="-27"/>
        <c:axId val="671656928"/>
        <c:axId val="671657408"/>
      </c:barChart>
      <c:catAx>
        <c:axId val="6716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57408"/>
        <c:crosses val="autoZero"/>
        <c:auto val="1"/>
        <c:lblAlgn val="ctr"/>
        <c:lblOffset val="100"/>
        <c:noMultiLvlLbl val="0"/>
      </c:catAx>
      <c:valAx>
        <c:axId val="67165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5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_.xlsx.xlsx]Revenue by hotel chart!PivotTable2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hotel chart'!$B$3</c:f>
              <c:strCache>
                <c:ptCount val="1"/>
                <c:pt idx="0">
                  <c:v>Total</c:v>
                </c:pt>
              </c:strCache>
            </c:strRef>
          </c:tx>
          <c:spPr>
            <a:solidFill>
              <a:schemeClr val="accent1"/>
            </a:solidFill>
            <a:ln>
              <a:noFill/>
            </a:ln>
            <a:effectLst/>
          </c:spPr>
          <c:invertIfNegative val="0"/>
          <c:cat>
            <c:strRef>
              <c:f>'Revenue by hotel chart'!$A$4:$A$10</c:f>
              <c:strCache>
                <c:ptCount val="6"/>
                <c:pt idx="0">
                  <c:v>Elite Inn</c:v>
                </c:pt>
                <c:pt idx="1">
                  <c:v>Grand Hotel</c:v>
                </c:pt>
                <c:pt idx="2">
                  <c:v>Royal Stay</c:v>
                </c:pt>
                <c:pt idx="3">
                  <c:v>Skyline Suites</c:v>
                </c:pt>
                <c:pt idx="4">
                  <c:v>Urban Residency</c:v>
                </c:pt>
                <c:pt idx="5">
                  <c:v>(blank)</c:v>
                </c:pt>
              </c:strCache>
            </c:strRef>
          </c:cat>
          <c:val>
            <c:numRef>
              <c:f>'Revenue by hotel chart'!$B$4:$B$10</c:f>
              <c:numCache>
                <c:formatCode>General</c:formatCode>
                <c:ptCount val="6"/>
                <c:pt idx="0">
                  <c:v>2258500</c:v>
                </c:pt>
                <c:pt idx="1">
                  <c:v>2074500</c:v>
                </c:pt>
                <c:pt idx="2">
                  <c:v>2595000</c:v>
                </c:pt>
                <c:pt idx="3">
                  <c:v>1979500</c:v>
                </c:pt>
                <c:pt idx="4">
                  <c:v>2193000</c:v>
                </c:pt>
              </c:numCache>
            </c:numRef>
          </c:val>
          <c:extLst>
            <c:ext xmlns:c16="http://schemas.microsoft.com/office/drawing/2014/chart" uri="{C3380CC4-5D6E-409C-BE32-E72D297353CC}">
              <c16:uniqueId val="{00000000-9561-477E-AB51-CE66AEE87A4E}"/>
            </c:ext>
          </c:extLst>
        </c:ser>
        <c:dLbls>
          <c:showLegendKey val="0"/>
          <c:showVal val="0"/>
          <c:showCatName val="0"/>
          <c:showSerName val="0"/>
          <c:showPercent val="0"/>
          <c:showBubbleSize val="0"/>
        </c:dLbls>
        <c:gapWidth val="182"/>
        <c:axId val="834960752"/>
        <c:axId val="834961232"/>
      </c:barChart>
      <c:catAx>
        <c:axId val="83496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61232"/>
        <c:crosses val="autoZero"/>
        <c:auto val="1"/>
        <c:lblAlgn val="ctr"/>
        <c:lblOffset val="100"/>
        <c:noMultiLvlLbl val="0"/>
      </c:catAx>
      <c:valAx>
        <c:axId val="83496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6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_.xlsx.xlsx]Revenue by room type!PivotTable3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room type'!$B$3</c:f>
              <c:strCache>
                <c:ptCount val="1"/>
                <c:pt idx="0">
                  <c:v>Total</c:v>
                </c:pt>
              </c:strCache>
            </c:strRef>
          </c:tx>
          <c:spPr>
            <a:solidFill>
              <a:schemeClr val="accent1"/>
            </a:solidFill>
            <a:ln>
              <a:noFill/>
            </a:ln>
            <a:effectLst/>
          </c:spPr>
          <c:invertIfNegative val="0"/>
          <c:cat>
            <c:strRef>
              <c:f>'Revenue by room type'!$A$4:$A$7</c:f>
              <c:strCache>
                <c:ptCount val="3"/>
                <c:pt idx="0">
                  <c:v>Deluxe</c:v>
                </c:pt>
                <c:pt idx="1">
                  <c:v>Standard</c:v>
                </c:pt>
                <c:pt idx="2">
                  <c:v>Suite</c:v>
                </c:pt>
              </c:strCache>
            </c:strRef>
          </c:cat>
          <c:val>
            <c:numRef>
              <c:f>'Revenue by room type'!$B$4:$B$7</c:f>
              <c:numCache>
                <c:formatCode>General</c:formatCode>
                <c:ptCount val="3"/>
                <c:pt idx="0">
                  <c:v>3478500</c:v>
                </c:pt>
                <c:pt idx="1">
                  <c:v>3428500</c:v>
                </c:pt>
                <c:pt idx="2">
                  <c:v>4193500</c:v>
                </c:pt>
              </c:numCache>
            </c:numRef>
          </c:val>
          <c:extLst>
            <c:ext xmlns:c16="http://schemas.microsoft.com/office/drawing/2014/chart" uri="{C3380CC4-5D6E-409C-BE32-E72D297353CC}">
              <c16:uniqueId val="{00000000-9023-4DE4-8027-6043F773B451}"/>
            </c:ext>
          </c:extLst>
        </c:ser>
        <c:dLbls>
          <c:showLegendKey val="0"/>
          <c:showVal val="0"/>
          <c:showCatName val="0"/>
          <c:showSerName val="0"/>
          <c:showPercent val="0"/>
          <c:showBubbleSize val="0"/>
        </c:dLbls>
        <c:gapWidth val="219"/>
        <c:overlap val="-27"/>
        <c:axId val="834944912"/>
        <c:axId val="834962672"/>
      </c:barChart>
      <c:catAx>
        <c:axId val="8349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62672"/>
        <c:crosses val="autoZero"/>
        <c:auto val="1"/>
        <c:lblAlgn val="ctr"/>
        <c:lblOffset val="100"/>
        <c:noMultiLvlLbl val="0"/>
      </c:catAx>
      <c:valAx>
        <c:axId val="83496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_.xlsx.xlsx]Bookings by channel!PivotTable4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'Bookings by channel'!$B$3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'Bookings by channel'!$A$4:$A$8</c:f>
              <c:strCache>
                <c:ptCount val="4"/>
                <c:pt idx="0">
                  <c:v>Corporate</c:v>
                </c:pt>
                <c:pt idx="1">
                  <c:v>Online</c:v>
                </c:pt>
                <c:pt idx="2">
                  <c:v>Travel Agent</c:v>
                </c:pt>
                <c:pt idx="3">
                  <c:v>Walk-in</c:v>
                </c:pt>
              </c:strCache>
            </c:strRef>
          </c:cat>
          <c:val>
            <c:numRef>
              <c:f>'Bookings by channel'!$B$4:$B$8</c:f>
              <c:numCache>
                <c:formatCode>General</c:formatCode>
                <c:ptCount val="4"/>
                <c:pt idx="0">
                  <c:v>123</c:v>
                </c:pt>
                <c:pt idx="1">
                  <c:v>125</c:v>
                </c:pt>
                <c:pt idx="2">
                  <c:v>100</c:v>
                </c:pt>
                <c:pt idx="3">
                  <c:v>152</c:v>
                </c:pt>
              </c:numCache>
            </c:numRef>
          </c:val>
          <c:extLst>
            <c:ext xmlns:c16="http://schemas.microsoft.com/office/drawing/2014/chart" uri="{C3380CC4-5D6E-409C-BE32-E72D297353CC}">
              <c16:uniqueId val="{00000000-EE81-48CF-B9FA-4AD71567B7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_.xlsx.xlsx]Customer distribution!PivotTable5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'Customer distribution'!$B$3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'Customer distribution'!$A$4:$A$7</c:f>
              <c:strCache>
                <c:ptCount val="3"/>
                <c:pt idx="0">
                  <c:v>Business</c:v>
                </c:pt>
                <c:pt idx="1">
                  <c:v>Family</c:v>
                </c:pt>
                <c:pt idx="2">
                  <c:v>Leisure</c:v>
                </c:pt>
              </c:strCache>
            </c:strRef>
          </c:cat>
          <c:val>
            <c:numRef>
              <c:f>'Customer distribution'!$B$4:$B$7</c:f>
              <c:numCache>
                <c:formatCode>General</c:formatCode>
                <c:ptCount val="3"/>
                <c:pt idx="0">
                  <c:v>167</c:v>
                </c:pt>
                <c:pt idx="1">
                  <c:v>169</c:v>
                </c:pt>
                <c:pt idx="2">
                  <c:v>164</c:v>
                </c:pt>
              </c:numCache>
            </c:numRef>
          </c:val>
          <c:extLst>
            <c:ext xmlns:c16="http://schemas.microsoft.com/office/drawing/2014/chart" uri="{C3380CC4-5D6E-409C-BE32-E72D297353CC}">
              <c16:uniqueId val="{00000000-A089-4030-BAAA-ED469220C1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_.xlsx.xlsx]Monthly revenue!PivotTable8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General</c:formatCode>
                <c:ptCount val="12"/>
                <c:pt idx="0">
                  <c:v>860000</c:v>
                </c:pt>
                <c:pt idx="1">
                  <c:v>891000</c:v>
                </c:pt>
                <c:pt idx="2">
                  <c:v>954500</c:v>
                </c:pt>
                <c:pt idx="3">
                  <c:v>665500</c:v>
                </c:pt>
                <c:pt idx="4">
                  <c:v>1078000</c:v>
                </c:pt>
                <c:pt idx="5">
                  <c:v>1142000</c:v>
                </c:pt>
                <c:pt idx="6">
                  <c:v>843000</c:v>
                </c:pt>
                <c:pt idx="7">
                  <c:v>1146000</c:v>
                </c:pt>
                <c:pt idx="8">
                  <c:v>693500</c:v>
                </c:pt>
                <c:pt idx="9">
                  <c:v>804500</c:v>
                </c:pt>
                <c:pt idx="10">
                  <c:v>991500</c:v>
                </c:pt>
                <c:pt idx="11">
                  <c:v>1031000</c:v>
                </c:pt>
              </c:numCache>
            </c:numRef>
          </c:val>
          <c:smooth val="0"/>
          <c:extLst>
            <c:ext xmlns:c16="http://schemas.microsoft.com/office/drawing/2014/chart" uri="{C3380CC4-5D6E-409C-BE32-E72D297353CC}">
              <c16:uniqueId val="{00000000-A8E3-4520-B8D9-EB8B9D8052B3}"/>
            </c:ext>
          </c:extLst>
        </c:ser>
        <c:dLbls>
          <c:dLblPos val="t"/>
          <c:showLegendKey val="0"/>
          <c:showVal val="0"/>
          <c:showCatName val="0"/>
          <c:showSerName val="0"/>
          <c:showPercent val="0"/>
          <c:showBubbleSize val="0"/>
        </c:dLbls>
        <c:smooth val="0"/>
        <c:axId val="858366528"/>
        <c:axId val="858368448"/>
      </c:lineChart>
      <c:catAx>
        <c:axId val="85836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68448"/>
        <c:crosses val="autoZero"/>
        <c:auto val="1"/>
        <c:lblAlgn val="ctr"/>
        <c:lblOffset val="100"/>
        <c:noMultiLvlLbl val="0"/>
      </c:catAx>
      <c:valAx>
        <c:axId val="85836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6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_.xlsx.xlsx]Rating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analysis'!$B$3</c:f>
              <c:strCache>
                <c:ptCount val="1"/>
                <c:pt idx="0">
                  <c:v>Total</c:v>
                </c:pt>
              </c:strCache>
            </c:strRef>
          </c:tx>
          <c:spPr>
            <a:solidFill>
              <a:schemeClr val="accent1"/>
            </a:solidFill>
            <a:ln>
              <a:noFill/>
            </a:ln>
            <a:effectLst/>
          </c:spPr>
          <c:invertIfNegative val="0"/>
          <c:cat>
            <c:strRef>
              <c:f>'Rating analysis'!$A$4:$A$9</c:f>
              <c:strCache>
                <c:ptCount val="5"/>
                <c:pt idx="0">
                  <c:v>1</c:v>
                </c:pt>
                <c:pt idx="1">
                  <c:v>2</c:v>
                </c:pt>
                <c:pt idx="2">
                  <c:v>3</c:v>
                </c:pt>
                <c:pt idx="3">
                  <c:v>4</c:v>
                </c:pt>
                <c:pt idx="4">
                  <c:v>5</c:v>
                </c:pt>
              </c:strCache>
            </c:strRef>
          </c:cat>
          <c:val>
            <c:numRef>
              <c:f>'Rating analysis'!$B$4:$B$9</c:f>
              <c:numCache>
                <c:formatCode>General</c:formatCode>
                <c:ptCount val="5"/>
                <c:pt idx="0">
                  <c:v>25</c:v>
                </c:pt>
                <c:pt idx="1">
                  <c:v>19</c:v>
                </c:pt>
                <c:pt idx="2">
                  <c:v>130</c:v>
                </c:pt>
                <c:pt idx="3">
                  <c:v>153</c:v>
                </c:pt>
                <c:pt idx="4">
                  <c:v>173</c:v>
                </c:pt>
              </c:numCache>
            </c:numRef>
          </c:val>
          <c:extLst>
            <c:ext xmlns:c16="http://schemas.microsoft.com/office/drawing/2014/chart" uri="{C3380CC4-5D6E-409C-BE32-E72D297353CC}">
              <c16:uniqueId val="{00000000-E0A9-40C2-8C97-1A93C8ACDEAC}"/>
            </c:ext>
          </c:extLst>
        </c:ser>
        <c:dLbls>
          <c:showLegendKey val="0"/>
          <c:showVal val="0"/>
          <c:showCatName val="0"/>
          <c:showSerName val="0"/>
          <c:showPercent val="0"/>
          <c:showBubbleSize val="0"/>
        </c:dLbls>
        <c:gapWidth val="219"/>
        <c:overlap val="-27"/>
        <c:axId val="834978992"/>
        <c:axId val="834979472"/>
      </c:barChart>
      <c:catAx>
        <c:axId val="83497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79472"/>
        <c:crosses val="autoZero"/>
        <c:auto val="1"/>
        <c:lblAlgn val="ctr"/>
        <c:lblOffset val="100"/>
        <c:noMultiLvlLbl val="0"/>
      </c:catAx>
      <c:valAx>
        <c:axId val="83497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_.xlsx.xlsx]Revenue by city!PivotTable1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city'!$A$4:$A$10</c:f>
              <c:strCache>
                <c:ptCount val="6"/>
                <c:pt idx="0">
                  <c:v>Bangalore</c:v>
                </c:pt>
                <c:pt idx="1">
                  <c:v>Chennai</c:v>
                </c:pt>
                <c:pt idx="2">
                  <c:v>Delhi</c:v>
                </c:pt>
                <c:pt idx="3">
                  <c:v>Hyderabad</c:v>
                </c:pt>
                <c:pt idx="4">
                  <c:v>Mumbai</c:v>
                </c:pt>
                <c:pt idx="5">
                  <c:v>(blank)</c:v>
                </c:pt>
              </c:strCache>
            </c:strRef>
          </c:cat>
          <c:val>
            <c:numRef>
              <c:f>'Revenue by city'!$B$4:$B$10</c:f>
              <c:numCache>
                <c:formatCode>General</c:formatCode>
                <c:ptCount val="6"/>
                <c:pt idx="0">
                  <c:v>2674500</c:v>
                </c:pt>
                <c:pt idx="1">
                  <c:v>1855500</c:v>
                </c:pt>
                <c:pt idx="2">
                  <c:v>2142000</c:v>
                </c:pt>
                <c:pt idx="3">
                  <c:v>2235000</c:v>
                </c:pt>
                <c:pt idx="4">
                  <c:v>2193500</c:v>
                </c:pt>
              </c:numCache>
            </c:numRef>
          </c:val>
          <c:extLst>
            <c:ext xmlns:c16="http://schemas.microsoft.com/office/drawing/2014/chart" uri="{C3380CC4-5D6E-409C-BE32-E72D297353CC}">
              <c16:uniqueId val="{00000000-156E-409A-9015-194CD41FB8A9}"/>
            </c:ext>
          </c:extLst>
        </c:ser>
        <c:dLbls>
          <c:dLblPos val="outEnd"/>
          <c:showLegendKey val="0"/>
          <c:showVal val="1"/>
          <c:showCatName val="0"/>
          <c:showSerName val="0"/>
          <c:showPercent val="0"/>
          <c:showBubbleSize val="0"/>
        </c:dLbls>
        <c:gapWidth val="219"/>
        <c:overlap val="-27"/>
        <c:axId val="671656928"/>
        <c:axId val="671657408"/>
      </c:barChart>
      <c:catAx>
        <c:axId val="6716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57408"/>
        <c:crosses val="autoZero"/>
        <c:auto val="1"/>
        <c:lblAlgn val="ctr"/>
        <c:lblOffset val="100"/>
        <c:noMultiLvlLbl val="0"/>
      </c:catAx>
      <c:valAx>
        <c:axId val="67165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5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_.xlsx.xlsx]Revenue by hotel chart!PivotTable2</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Hote</a:t>
            </a:r>
            <a:r>
              <a:rPr lang="en-US" b="1"/>
              <a:t>l</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hotel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hotel chart'!$A$4:$A$10</c:f>
              <c:strCache>
                <c:ptCount val="6"/>
                <c:pt idx="0">
                  <c:v>Elite Inn</c:v>
                </c:pt>
                <c:pt idx="1">
                  <c:v>Grand Hotel</c:v>
                </c:pt>
                <c:pt idx="2">
                  <c:v>Royal Stay</c:v>
                </c:pt>
                <c:pt idx="3">
                  <c:v>Skyline Suites</c:v>
                </c:pt>
                <c:pt idx="4">
                  <c:v>Urban Residency</c:v>
                </c:pt>
                <c:pt idx="5">
                  <c:v>(blank)</c:v>
                </c:pt>
              </c:strCache>
            </c:strRef>
          </c:cat>
          <c:val>
            <c:numRef>
              <c:f>'Revenue by hotel chart'!$B$4:$B$10</c:f>
              <c:numCache>
                <c:formatCode>General</c:formatCode>
                <c:ptCount val="6"/>
                <c:pt idx="0">
                  <c:v>2258500</c:v>
                </c:pt>
                <c:pt idx="1">
                  <c:v>2074500</c:v>
                </c:pt>
                <c:pt idx="2">
                  <c:v>2595000</c:v>
                </c:pt>
                <c:pt idx="3">
                  <c:v>1979500</c:v>
                </c:pt>
                <c:pt idx="4">
                  <c:v>2193000</c:v>
                </c:pt>
              </c:numCache>
            </c:numRef>
          </c:val>
          <c:extLst>
            <c:ext xmlns:c16="http://schemas.microsoft.com/office/drawing/2014/chart" uri="{C3380CC4-5D6E-409C-BE32-E72D297353CC}">
              <c16:uniqueId val="{00000000-3305-47CF-BACD-57BA55376A13}"/>
            </c:ext>
          </c:extLst>
        </c:ser>
        <c:dLbls>
          <c:dLblPos val="outEnd"/>
          <c:showLegendKey val="0"/>
          <c:showVal val="1"/>
          <c:showCatName val="0"/>
          <c:showSerName val="0"/>
          <c:showPercent val="0"/>
          <c:showBubbleSize val="0"/>
        </c:dLbls>
        <c:gapWidth val="182"/>
        <c:axId val="834960752"/>
        <c:axId val="834961232"/>
      </c:barChart>
      <c:catAx>
        <c:axId val="83496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61232"/>
        <c:crosses val="autoZero"/>
        <c:auto val="1"/>
        <c:lblAlgn val="ctr"/>
        <c:lblOffset val="100"/>
        <c:noMultiLvlLbl val="0"/>
      </c:catAx>
      <c:valAx>
        <c:axId val="83496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6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_.xlsx.xlsx]Revenue by room type!PivotTable3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Room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room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room type'!$A$4:$A$7</c:f>
              <c:strCache>
                <c:ptCount val="3"/>
                <c:pt idx="0">
                  <c:v>Deluxe</c:v>
                </c:pt>
                <c:pt idx="1">
                  <c:v>Standard</c:v>
                </c:pt>
                <c:pt idx="2">
                  <c:v>Suite</c:v>
                </c:pt>
              </c:strCache>
            </c:strRef>
          </c:cat>
          <c:val>
            <c:numRef>
              <c:f>'Revenue by room type'!$B$4:$B$7</c:f>
              <c:numCache>
                <c:formatCode>General</c:formatCode>
                <c:ptCount val="3"/>
                <c:pt idx="0">
                  <c:v>3478500</c:v>
                </c:pt>
                <c:pt idx="1">
                  <c:v>3428500</c:v>
                </c:pt>
                <c:pt idx="2">
                  <c:v>4193500</c:v>
                </c:pt>
              </c:numCache>
            </c:numRef>
          </c:val>
          <c:extLst>
            <c:ext xmlns:c16="http://schemas.microsoft.com/office/drawing/2014/chart" uri="{C3380CC4-5D6E-409C-BE32-E72D297353CC}">
              <c16:uniqueId val="{00000000-6B6E-4EDA-9FB0-B650D854F934}"/>
            </c:ext>
          </c:extLst>
        </c:ser>
        <c:dLbls>
          <c:dLblPos val="outEnd"/>
          <c:showLegendKey val="0"/>
          <c:showVal val="1"/>
          <c:showCatName val="0"/>
          <c:showSerName val="0"/>
          <c:showPercent val="0"/>
          <c:showBubbleSize val="0"/>
        </c:dLbls>
        <c:gapWidth val="219"/>
        <c:overlap val="-27"/>
        <c:axId val="834944912"/>
        <c:axId val="834962672"/>
      </c:barChart>
      <c:catAx>
        <c:axId val="8349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62672"/>
        <c:crosses val="autoZero"/>
        <c:auto val="1"/>
        <c:lblAlgn val="ctr"/>
        <c:lblOffset val="100"/>
        <c:noMultiLvlLbl val="0"/>
      </c:catAx>
      <c:valAx>
        <c:axId val="83496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_.xlsx.xlsx]Bookings by channel!PivotTable4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Booking</a:t>
            </a:r>
            <a:r>
              <a:rPr lang="en-US" b="1" baseline="0"/>
              <a:t> Channel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'Bookings by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2A-4991-9574-B62BAA5B1B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2A-4991-9574-B62BAA5B1B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2A-4991-9574-B62BAA5B1B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2A-4991-9574-B62BAA5B1B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'Bookings by channel'!$A$4:$A$8</c:f>
              <c:strCache>
                <c:ptCount val="4"/>
                <c:pt idx="0">
                  <c:v>Corporate</c:v>
                </c:pt>
                <c:pt idx="1">
                  <c:v>Online</c:v>
                </c:pt>
                <c:pt idx="2">
                  <c:v>Travel Agent</c:v>
                </c:pt>
                <c:pt idx="3">
                  <c:v>Walk-in</c:v>
                </c:pt>
              </c:strCache>
            </c:strRef>
          </c:cat>
          <c:val>
            <c:numRef>
              <c:f>'Bookings by channel'!$B$4:$B$8</c:f>
              <c:numCache>
                <c:formatCode>General</c:formatCode>
                <c:ptCount val="4"/>
                <c:pt idx="0">
                  <c:v>123</c:v>
                </c:pt>
                <c:pt idx="1">
                  <c:v>125</c:v>
                </c:pt>
                <c:pt idx="2">
                  <c:v>100</c:v>
                </c:pt>
                <c:pt idx="3">
                  <c:v>152</c:v>
                </c:pt>
              </c:numCache>
            </c:numRef>
          </c:val>
          <c:extLst>
            <c:ext xmlns:c16="http://schemas.microsoft.com/office/drawing/2014/chart" uri="{C3380CC4-5D6E-409C-BE32-E72D297353CC}">
              <c16:uniqueId val="{00000008-EA2A-4991-9574-B62BAA5B1B6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_.xlsx.xlsx]Customer distribution!PivotTable5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'Customer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8F-4900-BFD1-855F4AECA2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8F-4900-BFD1-855F4AECA2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8F-4900-BFD1-855F4AECA26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distribution'!$A$4:$A$7</c:f>
              <c:strCache>
                <c:ptCount val="3"/>
                <c:pt idx="0">
                  <c:v>Business</c:v>
                </c:pt>
                <c:pt idx="1">
                  <c:v>Family</c:v>
                </c:pt>
                <c:pt idx="2">
                  <c:v>Leisure</c:v>
                </c:pt>
              </c:strCache>
            </c:strRef>
          </c:cat>
          <c:val>
            <c:numRef>
              <c:f>'Customer distribution'!$B$4:$B$7</c:f>
              <c:numCache>
                <c:formatCode>General</c:formatCode>
                <c:ptCount val="3"/>
                <c:pt idx="0">
                  <c:v>167</c:v>
                </c:pt>
                <c:pt idx="1">
                  <c:v>169</c:v>
                </c:pt>
                <c:pt idx="2">
                  <c:v>164</c:v>
                </c:pt>
              </c:numCache>
            </c:numRef>
          </c:val>
          <c:extLst>
            <c:ext xmlns:c16="http://schemas.microsoft.com/office/drawing/2014/chart" uri="{C3380CC4-5D6E-409C-BE32-E72D297353CC}">
              <c16:uniqueId val="{00000006-8A8F-4900-BFD1-855F4AECA26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_Analytics _.xlsx.xlsx]Rating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a:t>
            </a:r>
            <a:r>
              <a:rPr lang="en-US" b="1" baseline="0"/>
              <a: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analysis'!$A$4:$A$9</c:f>
              <c:strCache>
                <c:ptCount val="5"/>
                <c:pt idx="0">
                  <c:v>1</c:v>
                </c:pt>
                <c:pt idx="1">
                  <c:v>2</c:v>
                </c:pt>
                <c:pt idx="2">
                  <c:v>3</c:v>
                </c:pt>
                <c:pt idx="3">
                  <c:v>4</c:v>
                </c:pt>
                <c:pt idx="4">
                  <c:v>5</c:v>
                </c:pt>
              </c:strCache>
            </c:strRef>
          </c:cat>
          <c:val>
            <c:numRef>
              <c:f>'Rating analysis'!$B$4:$B$9</c:f>
              <c:numCache>
                <c:formatCode>General</c:formatCode>
                <c:ptCount val="5"/>
                <c:pt idx="0">
                  <c:v>25</c:v>
                </c:pt>
                <c:pt idx="1">
                  <c:v>19</c:v>
                </c:pt>
                <c:pt idx="2">
                  <c:v>130</c:v>
                </c:pt>
                <c:pt idx="3">
                  <c:v>153</c:v>
                </c:pt>
                <c:pt idx="4">
                  <c:v>173</c:v>
                </c:pt>
              </c:numCache>
            </c:numRef>
          </c:val>
          <c:extLst>
            <c:ext xmlns:c16="http://schemas.microsoft.com/office/drawing/2014/chart" uri="{C3380CC4-5D6E-409C-BE32-E72D297353CC}">
              <c16:uniqueId val="{00000000-C2F5-4791-B576-BE76C75B7725}"/>
            </c:ext>
          </c:extLst>
        </c:ser>
        <c:dLbls>
          <c:dLblPos val="outEnd"/>
          <c:showLegendKey val="0"/>
          <c:showVal val="1"/>
          <c:showCatName val="0"/>
          <c:showSerName val="0"/>
          <c:showPercent val="0"/>
          <c:showBubbleSize val="0"/>
        </c:dLbls>
        <c:gapWidth val="219"/>
        <c:overlap val="-27"/>
        <c:axId val="834978992"/>
        <c:axId val="834979472"/>
      </c:barChart>
      <c:catAx>
        <c:axId val="83497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79472"/>
        <c:crosses val="autoZero"/>
        <c:auto val="1"/>
        <c:lblAlgn val="ctr"/>
        <c:lblOffset val="100"/>
        <c:noMultiLvlLbl val="0"/>
      </c:catAx>
      <c:valAx>
        <c:axId val="83497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30480</xdr:colOff>
      <xdr:row>4</xdr:row>
      <xdr:rowOff>60960</xdr:rowOff>
    </xdr:from>
    <xdr:to>
      <xdr:col>12</xdr:col>
      <xdr:colOff>312420</xdr:colOff>
      <xdr:row>21</xdr:row>
      <xdr:rowOff>45720</xdr:rowOff>
    </xdr:to>
    <xdr:graphicFrame macro="">
      <xdr:nvGraphicFramePr>
        <xdr:cNvPr id="2" name="Chart 1">
          <a:extLst>
            <a:ext uri="{FF2B5EF4-FFF2-40B4-BE49-F238E27FC236}">
              <a16:creationId xmlns:a16="http://schemas.microsoft.com/office/drawing/2014/main" id="{DF156474-1A9E-1942-C47A-E1D0A4AE4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6</xdr:row>
      <xdr:rowOff>45720</xdr:rowOff>
    </xdr:from>
    <xdr:to>
      <xdr:col>12</xdr:col>
      <xdr:colOff>373380</xdr:colOff>
      <xdr:row>21</xdr:row>
      <xdr:rowOff>45720</xdr:rowOff>
    </xdr:to>
    <xdr:graphicFrame macro="">
      <xdr:nvGraphicFramePr>
        <xdr:cNvPr id="3" name="Chart 2">
          <a:extLst>
            <a:ext uri="{FF2B5EF4-FFF2-40B4-BE49-F238E27FC236}">
              <a16:creationId xmlns:a16="http://schemas.microsoft.com/office/drawing/2014/main" id="{B4998F66-0A4F-E2A8-C42E-8486BCD01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6</xdr:row>
      <xdr:rowOff>45720</xdr:rowOff>
    </xdr:from>
    <xdr:to>
      <xdr:col>11</xdr:col>
      <xdr:colOff>144780</xdr:colOff>
      <xdr:row>21</xdr:row>
      <xdr:rowOff>45720</xdr:rowOff>
    </xdr:to>
    <xdr:graphicFrame macro="">
      <xdr:nvGraphicFramePr>
        <xdr:cNvPr id="2" name="Chart 1">
          <a:extLst>
            <a:ext uri="{FF2B5EF4-FFF2-40B4-BE49-F238E27FC236}">
              <a16:creationId xmlns:a16="http://schemas.microsoft.com/office/drawing/2014/main" id="{7B53867E-2EA1-1509-DFCC-1D1B0AA5A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6</xdr:row>
      <xdr:rowOff>45720</xdr:rowOff>
    </xdr:from>
    <xdr:to>
      <xdr:col>10</xdr:col>
      <xdr:colOff>495300</xdr:colOff>
      <xdr:row>21</xdr:row>
      <xdr:rowOff>45720</xdr:rowOff>
    </xdr:to>
    <xdr:graphicFrame macro="">
      <xdr:nvGraphicFramePr>
        <xdr:cNvPr id="2" name="Chart 1">
          <a:extLst>
            <a:ext uri="{FF2B5EF4-FFF2-40B4-BE49-F238E27FC236}">
              <a16:creationId xmlns:a16="http://schemas.microsoft.com/office/drawing/2014/main" id="{2CE32EA7-8012-420F-D131-01F20CB33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6</xdr:row>
      <xdr:rowOff>45720</xdr:rowOff>
    </xdr:from>
    <xdr:to>
      <xdr:col>10</xdr:col>
      <xdr:colOff>495300</xdr:colOff>
      <xdr:row>21</xdr:row>
      <xdr:rowOff>45720</xdr:rowOff>
    </xdr:to>
    <xdr:graphicFrame macro="">
      <xdr:nvGraphicFramePr>
        <xdr:cNvPr id="2" name="Chart 1">
          <a:extLst>
            <a:ext uri="{FF2B5EF4-FFF2-40B4-BE49-F238E27FC236}">
              <a16:creationId xmlns:a16="http://schemas.microsoft.com/office/drawing/2014/main" id="{4C39AB1A-6EE7-2652-1225-BE017991C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297180</xdr:colOff>
      <xdr:row>0</xdr:row>
      <xdr:rowOff>160021</xdr:rowOff>
    </xdr:from>
    <xdr:to>
      <xdr:col>15</xdr:col>
      <xdr:colOff>297180</xdr:colOff>
      <xdr:row>10</xdr:row>
      <xdr:rowOff>22861</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0ECAEBAD-7AC1-6403-5756-FE25B7DE6FD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747760" y="16002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426720</xdr:colOff>
      <xdr:row>11</xdr:row>
      <xdr:rowOff>129541</xdr:rowOff>
    </xdr:from>
    <xdr:to>
      <xdr:col>15</xdr:col>
      <xdr:colOff>426720</xdr:colOff>
      <xdr:row>19</xdr:row>
      <xdr:rowOff>53341</xdr:rowOff>
    </xdr:to>
    <mc:AlternateContent xmlns:mc="http://schemas.openxmlformats.org/markup-compatibility/2006">
      <mc:Choice xmlns:a14="http://schemas.microsoft.com/office/drawing/2010/main" Requires="a14">
        <xdr:graphicFrame macro="">
          <xdr:nvGraphicFramePr>
            <xdr:cNvPr id="4" name="Room_Type">
              <a:extLst>
                <a:ext uri="{FF2B5EF4-FFF2-40B4-BE49-F238E27FC236}">
                  <a16:creationId xmlns:a16="http://schemas.microsoft.com/office/drawing/2014/main" id="{7B21626A-F15E-C1AB-4380-872D2C7EE6E6}"/>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dr:sp macro="" textlink="">
          <xdr:nvSpPr>
            <xdr:cNvPr id="0" name=""/>
            <xdr:cNvSpPr>
              <a:spLocks noTextEdit="1"/>
            </xdr:cNvSpPr>
          </xdr:nvSpPr>
          <xdr:spPr>
            <a:xfrm>
              <a:off x="8877300" y="214122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434340</xdr:colOff>
      <xdr:row>0</xdr:row>
      <xdr:rowOff>83821</xdr:rowOff>
    </xdr:from>
    <xdr:to>
      <xdr:col>19</xdr:col>
      <xdr:colOff>434340</xdr:colOff>
      <xdr:row>10</xdr:row>
      <xdr:rowOff>60961</xdr:rowOff>
    </xdr:to>
    <mc:AlternateContent xmlns:mc="http://schemas.openxmlformats.org/markup-compatibility/2006">
      <mc:Choice xmlns:a14="http://schemas.microsoft.com/office/drawing/2010/main" Requires="a14">
        <xdr:graphicFrame macro="">
          <xdr:nvGraphicFramePr>
            <xdr:cNvPr id="5" name="Hotel_Name">
              <a:extLst>
                <a:ext uri="{FF2B5EF4-FFF2-40B4-BE49-F238E27FC236}">
                  <a16:creationId xmlns:a16="http://schemas.microsoft.com/office/drawing/2014/main" id="{96F7F474-6A11-2F64-4229-C204DB198F53}"/>
                </a:ext>
              </a:extLst>
            </xdr:cNvPr>
            <xdr:cNvGraphicFramePr/>
          </xdr:nvGraphicFramePr>
          <xdr:xfrm>
            <a:off x="0" y="0"/>
            <a:ext cx="0" cy="0"/>
          </xdr:xfrm>
          <a:graphic>
            <a:graphicData uri="http://schemas.microsoft.com/office/drawing/2010/slicer">
              <sle:slicer xmlns:sle="http://schemas.microsoft.com/office/drawing/2010/slicer" name="Hotel_Name"/>
            </a:graphicData>
          </a:graphic>
        </xdr:graphicFrame>
      </mc:Choice>
      <mc:Fallback>
        <xdr:sp macro="" textlink="">
          <xdr:nvSpPr>
            <xdr:cNvPr id="0" name=""/>
            <xdr:cNvSpPr>
              <a:spLocks noTextEdit="1"/>
            </xdr:cNvSpPr>
          </xdr:nvSpPr>
          <xdr:spPr>
            <a:xfrm>
              <a:off x="11323320" y="8382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137160</xdr:colOff>
      <xdr:row>11</xdr:row>
      <xdr:rowOff>129541</xdr:rowOff>
    </xdr:from>
    <xdr:to>
      <xdr:col>20</xdr:col>
      <xdr:colOff>137160</xdr:colOff>
      <xdr:row>19</xdr:row>
      <xdr:rowOff>137161</xdr:rowOff>
    </xdr:to>
    <mc:AlternateContent xmlns:mc="http://schemas.openxmlformats.org/markup-compatibility/2006">
      <mc:Choice xmlns:a14="http://schemas.microsoft.com/office/drawing/2010/main" Requires="a14">
        <xdr:graphicFrame macro="">
          <xdr:nvGraphicFramePr>
            <xdr:cNvPr id="6" name="Booking_Channel">
              <a:extLst>
                <a:ext uri="{FF2B5EF4-FFF2-40B4-BE49-F238E27FC236}">
                  <a16:creationId xmlns:a16="http://schemas.microsoft.com/office/drawing/2014/main" id="{56C01F2C-7A0E-BADE-98E1-74E0AD9CB1D6}"/>
                </a:ext>
              </a:extLst>
            </xdr:cNvPr>
            <xdr:cNvGraphicFramePr/>
          </xdr:nvGraphicFramePr>
          <xdr:xfrm>
            <a:off x="0" y="0"/>
            <a:ext cx="0" cy="0"/>
          </xdr:xfrm>
          <a:graphic>
            <a:graphicData uri="http://schemas.microsoft.com/office/drawing/2010/slicer">
              <sle:slicer xmlns:sle="http://schemas.microsoft.com/office/drawing/2010/slicer" name="Booking_Channel"/>
            </a:graphicData>
          </a:graphic>
        </xdr:graphicFrame>
      </mc:Choice>
      <mc:Fallback>
        <xdr:sp macro="" textlink="">
          <xdr:nvSpPr>
            <xdr:cNvPr id="0" name=""/>
            <xdr:cNvSpPr>
              <a:spLocks noTextEdit="1"/>
            </xdr:cNvSpPr>
          </xdr:nvSpPr>
          <xdr:spPr>
            <a:xfrm>
              <a:off x="11635740" y="214122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3" name="Chart 2">
          <a:extLst>
            <a:ext uri="{FF2B5EF4-FFF2-40B4-BE49-F238E27FC236}">
              <a16:creationId xmlns:a16="http://schemas.microsoft.com/office/drawing/2014/main" id="{F5902CB4-BBEC-4C71-22DF-EFB55567B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190500</xdr:colOff>
      <xdr:row>6</xdr:row>
      <xdr:rowOff>45720</xdr:rowOff>
    </xdr:from>
    <xdr:to>
      <xdr:col>10</xdr:col>
      <xdr:colOff>495300</xdr:colOff>
      <xdr:row>21</xdr:row>
      <xdr:rowOff>45720</xdr:rowOff>
    </xdr:to>
    <xdr:graphicFrame macro="">
      <xdr:nvGraphicFramePr>
        <xdr:cNvPr id="2" name="Chart 1">
          <a:extLst>
            <a:ext uri="{FF2B5EF4-FFF2-40B4-BE49-F238E27FC236}">
              <a16:creationId xmlns:a16="http://schemas.microsoft.com/office/drawing/2014/main" id="{C65BC8BF-1752-E3C1-8F1E-4CC101BCB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7620</xdr:colOff>
      <xdr:row>0</xdr:row>
      <xdr:rowOff>0</xdr:rowOff>
    </xdr:from>
    <xdr:to>
      <xdr:col>23</xdr:col>
      <xdr:colOff>251460</xdr:colOff>
      <xdr:row>2</xdr:row>
      <xdr:rowOff>167640</xdr:rowOff>
    </xdr:to>
    <xdr:sp macro="" textlink="">
      <xdr:nvSpPr>
        <xdr:cNvPr id="3" name="TextBox 2">
          <a:extLst>
            <a:ext uri="{FF2B5EF4-FFF2-40B4-BE49-F238E27FC236}">
              <a16:creationId xmlns:a16="http://schemas.microsoft.com/office/drawing/2014/main" id="{406B7ECA-6DF5-8D2A-DB16-1C840C1C9D5D}"/>
            </a:ext>
          </a:extLst>
        </xdr:cNvPr>
        <xdr:cNvSpPr txBox="1"/>
      </xdr:nvSpPr>
      <xdr:spPr>
        <a:xfrm>
          <a:off x="1226820" y="0"/>
          <a:ext cx="13045440" cy="58674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Times New Roman" panose="02020603050405020304" pitchFamily="18" charset="0"/>
              <a:cs typeface="Times New Roman" panose="02020603050405020304" pitchFamily="18" charset="0"/>
            </a:rPr>
            <a:t>HOSPITALITY</a:t>
          </a:r>
          <a:r>
            <a:rPr lang="en-IN" sz="2400" baseline="0">
              <a:latin typeface="Times New Roman" panose="02020603050405020304" pitchFamily="18" charset="0"/>
              <a:cs typeface="Times New Roman" panose="02020603050405020304" pitchFamily="18" charset="0"/>
            </a:rPr>
            <a:t> ANALYTICS DASHBOARD</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3</xdr:col>
      <xdr:colOff>273326</xdr:colOff>
      <xdr:row>2</xdr:row>
      <xdr:rowOff>182216</xdr:rowOff>
    </xdr:from>
    <xdr:to>
      <xdr:col>7</xdr:col>
      <xdr:colOff>414130</xdr:colOff>
      <xdr:row>6</xdr:row>
      <xdr:rowOff>173935</xdr:rowOff>
    </xdr:to>
    <xdr:sp macro="" textlink="">
      <xdr:nvSpPr>
        <xdr:cNvPr id="4" name="TextBox 3">
          <a:extLst>
            <a:ext uri="{FF2B5EF4-FFF2-40B4-BE49-F238E27FC236}">
              <a16:creationId xmlns:a16="http://schemas.microsoft.com/office/drawing/2014/main" id="{C4614F8F-44D2-2DA8-6454-9624BFCEC12B}"/>
            </a:ext>
          </a:extLst>
        </xdr:cNvPr>
        <xdr:cNvSpPr txBox="1"/>
      </xdr:nvSpPr>
      <xdr:spPr>
        <a:xfrm>
          <a:off x="2112065" y="604629"/>
          <a:ext cx="2592456" cy="83654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REVENUE</a:t>
          </a:r>
        </a:p>
      </xdr:txBody>
    </xdr:sp>
    <xdr:clientData/>
  </xdr:twoCellAnchor>
  <xdr:twoCellAnchor>
    <xdr:from>
      <xdr:col>8</xdr:col>
      <xdr:colOff>33131</xdr:colOff>
      <xdr:row>3</xdr:row>
      <xdr:rowOff>8282</xdr:rowOff>
    </xdr:from>
    <xdr:to>
      <xdr:col>11</xdr:col>
      <xdr:colOff>414131</xdr:colOff>
      <xdr:row>6</xdr:row>
      <xdr:rowOff>173934</xdr:rowOff>
    </xdr:to>
    <xdr:sp macro="" textlink="">
      <xdr:nvSpPr>
        <xdr:cNvPr id="8" name="TextBox 7">
          <a:extLst>
            <a:ext uri="{FF2B5EF4-FFF2-40B4-BE49-F238E27FC236}">
              <a16:creationId xmlns:a16="http://schemas.microsoft.com/office/drawing/2014/main" id="{9979C8DF-4797-B1D4-DBCB-C18A09DE4C6A}"/>
            </a:ext>
          </a:extLst>
        </xdr:cNvPr>
        <xdr:cNvSpPr txBox="1"/>
      </xdr:nvSpPr>
      <xdr:spPr>
        <a:xfrm>
          <a:off x="4936435" y="612912"/>
          <a:ext cx="2219739" cy="828261"/>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BOOKINGS</a:t>
          </a:r>
        </a:p>
        <a:p>
          <a:pPr algn="ctr"/>
          <a:endParaRPr lang="en-IN" sz="1600" b="1"/>
        </a:p>
      </xdr:txBody>
    </xdr:sp>
    <xdr:clientData/>
  </xdr:twoCellAnchor>
  <xdr:twoCellAnchor>
    <xdr:from>
      <xdr:col>12</xdr:col>
      <xdr:colOff>107672</xdr:colOff>
      <xdr:row>3</xdr:row>
      <xdr:rowOff>8283</xdr:rowOff>
    </xdr:from>
    <xdr:to>
      <xdr:col>15</xdr:col>
      <xdr:colOff>149086</xdr:colOff>
      <xdr:row>6</xdr:row>
      <xdr:rowOff>157370</xdr:rowOff>
    </xdr:to>
    <xdr:sp macro="" textlink="">
      <xdr:nvSpPr>
        <xdr:cNvPr id="11" name="TextBox 10">
          <a:extLst>
            <a:ext uri="{FF2B5EF4-FFF2-40B4-BE49-F238E27FC236}">
              <a16:creationId xmlns:a16="http://schemas.microsoft.com/office/drawing/2014/main" id="{0C090A07-13A5-3203-6B68-B371E1A37AB3}"/>
            </a:ext>
          </a:extLst>
        </xdr:cNvPr>
        <xdr:cNvSpPr txBox="1"/>
      </xdr:nvSpPr>
      <xdr:spPr>
        <a:xfrm>
          <a:off x="7462629" y="612913"/>
          <a:ext cx="1880153" cy="811696"/>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OCCUPANCY RATE</a:t>
          </a:r>
        </a:p>
      </xdr:txBody>
    </xdr:sp>
    <xdr:clientData/>
  </xdr:twoCellAnchor>
  <xdr:twoCellAnchor>
    <xdr:from>
      <xdr:col>15</xdr:col>
      <xdr:colOff>455543</xdr:colOff>
      <xdr:row>3</xdr:row>
      <xdr:rowOff>8282</xdr:rowOff>
    </xdr:from>
    <xdr:to>
      <xdr:col>18</xdr:col>
      <xdr:colOff>588065</xdr:colOff>
      <xdr:row>6</xdr:row>
      <xdr:rowOff>173934</xdr:rowOff>
    </xdr:to>
    <xdr:sp macro="" textlink="">
      <xdr:nvSpPr>
        <xdr:cNvPr id="12" name="TextBox 11">
          <a:extLst>
            <a:ext uri="{FF2B5EF4-FFF2-40B4-BE49-F238E27FC236}">
              <a16:creationId xmlns:a16="http://schemas.microsoft.com/office/drawing/2014/main" id="{A4BBDD0C-73E9-0F03-EA11-D45938E06B9F}"/>
            </a:ext>
          </a:extLst>
        </xdr:cNvPr>
        <xdr:cNvSpPr txBox="1"/>
      </xdr:nvSpPr>
      <xdr:spPr>
        <a:xfrm>
          <a:off x="9649239" y="612912"/>
          <a:ext cx="1971261" cy="828261"/>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CANCELLATION RATE</a:t>
          </a:r>
        </a:p>
      </xdr:txBody>
    </xdr:sp>
    <xdr:clientData/>
  </xdr:twoCellAnchor>
  <xdr:twoCellAnchor>
    <xdr:from>
      <xdr:col>19</xdr:col>
      <xdr:colOff>306456</xdr:colOff>
      <xdr:row>3</xdr:row>
      <xdr:rowOff>16565</xdr:rowOff>
    </xdr:from>
    <xdr:to>
      <xdr:col>22</xdr:col>
      <xdr:colOff>463825</xdr:colOff>
      <xdr:row>6</xdr:row>
      <xdr:rowOff>157369</xdr:rowOff>
    </xdr:to>
    <xdr:sp macro="" textlink="">
      <xdr:nvSpPr>
        <xdr:cNvPr id="13" name="TextBox 12">
          <a:extLst>
            <a:ext uri="{FF2B5EF4-FFF2-40B4-BE49-F238E27FC236}">
              <a16:creationId xmlns:a16="http://schemas.microsoft.com/office/drawing/2014/main" id="{B716334E-AB27-7FB9-BADF-91CB004F0E20}"/>
            </a:ext>
          </a:extLst>
        </xdr:cNvPr>
        <xdr:cNvSpPr txBox="1"/>
      </xdr:nvSpPr>
      <xdr:spPr>
        <a:xfrm>
          <a:off x="11951804" y="621195"/>
          <a:ext cx="1996108" cy="803413"/>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AVERAGE RATING</a:t>
          </a:r>
        </a:p>
      </xdr:txBody>
    </xdr:sp>
    <xdr:clientData/>
  </xdr:twoCellAnchor>
  <xdr:twoCellAnchor editAs="oneCell">
    <xdr:from>
      <xdr:col>0</xdr:col>
      <xdr:colOff>0</xdr:colOff>
      <xdr:row>3</xdr:row>
      <xdr:rowOff>7620</xdr:rowOff>
    </xdr:from>
    <xdr:to>
      <xdr:col>2</xdr:col>
      <xdr:colOff>342900</xdr:colOff>
      <xdr:row>11</xdr:row>
      <xdr:rowOff>91440</xdr:rowOff>
    </xdr:to>
    <mc:AlternateContent xmlns:mc="http://schemas.openxmlformats.org/markup-compatibility/2006">
      <mc:Choice xmlns:a14="http://schemas.microsoft.com/office/drawing/2010/main" Requires="a14">
        <xdr:graphicFrame macro="">
          <xdr:nvGraphicFramePr>
            <xdr:cNvPr id="14" name="City 1">
              <a:extLst>
                <a:ext uri="{FF2B5EF4-FFF2-40B4-BE49-F238E27FC236}">
                  <a16:creationId xmlns:a16="http://schemas.microsoft.com/office/drawing/2014/main" id="{54102591-02EB-4FCC-BEF9-4FF8DB3A488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0" y="615011"/>
              <a:ext cx="1557683" cy="1696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83820</xdr:rowOff>
    </xdr:from>
    <xdr:to>
      <xdr:col>2</xdr:col>
      <xdr:colOff>335280</xdr:colOff>
      <xdr:row>19</xdr:row>
      <xdr:rowOff>7620</xdr:rowOff>
    </xdr:to>
    <mc:AlternateContent xmlns:mc="http://schemas.openxmlformats.org/markup-compatibility/2006">
      <mc:Choice xmlns:a14="http://schemas.microsoft.com/office/drawing/2010/main" Requires="a14">
        <xdr:graphicFrame macro="">
          <xdr:nvGraphicFramePr>
            <xdr:cNvPr id="15" name="Room_Type 1">
              <a:extLst>
                <a:ext uri="{FF2B5EF4-FFF2-40B4-BE49-F238E27FC236}">
                  <a16:creationId xmlns:a16="http://schemas.microsoft.com/office/drawing/2014/main" id="{571D597F-5F27-47FB-B91D-99482EA3DEB2}"/>
                </a:ext>
              </a:extLst>
            </xdr:cNvPr>
            <xdr:cNvGraphicFramePr/>
          </xdr:nvGraphicFramePr>
          <xdr:xfrm>
            <a:off x="0" y="0"/>
            <a:ext cx="0" cy="0"/>
          </xdr:xfrm>
          <a:graphic>
            <a:graphicData uri="http://schemas.microsoft.com/office/drawing/2010/slicer">
              <sle:slicer xmlns:sle="http://schemas.microsoft.com/office/drawing/2010/slicer" name="Room_Type 1"/>
            </a:graphicData>
          </a:graphic>
        </xdr:graphicFrame>
      </mc:Choice>
      <mc:Fallback>
        <xdr:sp macro="" textlink="">
          <xdr:nvSpPr>
            <xdr:cNvPr id="0" name=""/>
            <xdr:cNvSpPr>
              <a:spLocks noTextEdit="1"/>
            </xdr:cNvSpPr>
          </xdr:nvSpPr>
          <xdr:spPr>
            <a:xfrm>
              <a:off x="0" y="2303559"/>
              <a:ext cx="1550063" cy="1425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7620</xdr:rowOff>
    </xdr:from>
    <xdr:to>
      <xdr:col>2</xdr:col>
      <xdr:colOff>335280</xdr:colOff>
      <xdr:row>27</xdr:row>
      <xdr:rowOff>15240</xdr:rowOff>
    </xdr:to>
    <mc:AlternateContent xmlns:mc="http://schemas.openxmlformats.org/markup-compatibility/2006">
      <mc:Choice xmlns:a14="http://schemas.microsoft.com/office/drawing/2010/main" Requires="a14">
        <xdr:graphicFrame macro="">
          <xdr:nvGraphicFramePr>
            <xdr:cNvPr id="16" name="Booking_Channel 1">
              <a:extLst>
                <a:ext uri="{FF2B5EF4-FFF2-40B4-BE49-F238E27FC236}">
                  <a16:creationId xmlns:a16="http://schemas.microsoft.com/office/drawing/2014/main" id="{30DA2410-A8FE-4382-8AED-A809A7CDA6C2}"/>
                </a:ext>
              </a:extLst>
            </xdr:cNvPr>
            <xdr:cNvGraphicFramePr/>
          </xdr:nvGraphicFramePr>
          <xdr:xfrm>
            <a:off x="0" y="0"/>
            <a:ext cx="0" cy="0"/>
          </xdr:xfrm>
          <a:graphic>
            <a:graphicData uri="http://schemas.microsoft.com/office/drawing/2010/slicer">
              <sle:slicer xmlns:sle="http://schemas.microsoft.com/office/drawing/2010/slicer" name="Booking_Channel 1"/>
            </a:graphicData>
          </a:graphic>
        </xdr:graphicFrame>
      </mc:Choice>
      <mc:Fallback>
        <xdr:sp macro="" textlink="">
          <xdr:nvSpPr>
            <xdr:cNvPr id="0" name=""/>
            <xdr:cNvSpPr>
              <a:spLocks noTextEdit="1"/>
            </xdr:cNvSpPr>
          </xdr:nvSpPr>
          <xdr:spPr>
            <a:xfrm>
              <a:off x="0" y="3729272"/>
              <a:ext cx="1550063" cy="1509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610594</xdr:colOff>
      <xdr:row>8</xdr:row>
      <xdr:rowOff>140804</xdr:rowOff>
    </xdr:from>
    <xdr:to>
      <xdr:col>9</xdr:col>
      <xdr:colOff>422413</xdr:colOff>
      <xdr:row>21</xdr:row>
      <xdr:rowOff>154057</xdr:rowOff>
    </xdr:to>
    <xdr:graphicFrame macro="">
      <xdr:nvGraphicFramePr>
        <xdr:cNvPr id="17" name="Chart 16">
          <a:extLst>
            <a:ext uri="{FF2B5EF4-FFF2-40B4-BE49-F238E27FC236}">
              <a16:creationId xmlns:a16="http://schemas.microsoft.com/office/drawing/2014/main" id="{76238A54-37A1-41A1-A644-B7586F10B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8283</xdr:colOff>
      <xdr:row>8</xdr:row>
      <xdr:rowOff>149088</xdr:rowOff>
    </xdr:from>
    <xdr:to>
      <xdr:col>17</xdr:col>
      <xdr:colOff>5886</xdr:colOff>
      <xdr:row>21</xdr:row>
      <xdr:rowOff>157370</xdr:rowOff>
    </xdr:to>
    <xdr:graphicFrame macro="">
      <xdr:nvGraphicFramePr>
        <xdr:cNvPr id="18" name="Chart 17">
          <a:extLst>
            <a:ext uri="{FF2B5EF4-FFF2-40B4-BE49-F238E27FC236}">
              <a16:creationId xmlns:a16="http://schemas.microsoft.com/office/drawing/2014/main" id="{A9273A15-5A36-48AA-8CDE-305B03F83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24847</xdr:colOff>
      <xdr:row>23</xdr:row>
      <xdr:rowOff>57978</xdr:rowOff>
    </xdr:from>
    <xdr:to>
      <xdr:col>9</xdr:col>
      <xdr:colOff>414130</xdr:colOff>
      <xdr:row>36</xdr:row>
      <xdr:rowOff>177615</xdr:rowOff>
    </xdr:to>
    <xdr:graphicFrame macro="">
      <xdr:nvGraphicFramePr>
        <xdr:cNvPr id="19" name="Chart 18">
          <a:extLst>
            <a:ext uri="{FF2B5EF4-FFF2-40B4-BE49-F238E27FC236}">
              <a16:creationId xmlns:a16="http://schemas.microsoft.com/office/drawing/2014/main" id="{B4FFE3A9-6285-4404-A98A-84741D364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612887</xdr:colOff>
      <xdr:row>23</xdr:row>
      <xdr:rowOff>74544</xdr:rowOff>
    </xdr:from>
    <xdr:to>
      <xdr:col>17</xdr:col>
      <xdr:colOff>0</xdr:colOff>
      <xdr:row>37</xdr:row>
      <xdr:rowOff>11965</xdr:rowOff>
    </xdr:to>
    <xdr:graphicFrame macro="">
      <xdr:nvGraphicFramePr>
        <xdr:cNvPr id="20" name="Chart 19">
          <a:extLst>
            <a:ext uri="{FF2B5EF4-FFF2-40B4-BE49-F238E27FC236}">
              <a16:creationId xmlns:a16="http://schemas.microsoft.com/office/drawing/2014/main" id="{F0C21C45-C059-4E5F-B6AB-EC394D203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248478</xdr:colOff>
      <xdr:row>8</xdr:row>
      <xdr:rowOff>157369</xdr:rowOff>
    </xdr:from>
    <xdr:to>
      <xdr:col>23</xdr:col>
      <xdr:colOff>461851</xdr:colOff>
      <xdr:row>21</xdr:row>
      <xdr:rowOff>173934</xdr:rowOff>
    </xdr:to>
    <xdr:graphicFrame macro="">
      <xdr:nvGraphicFramePr>
        <xdr:cNvPr id="21" name="Chart 20">
          <a:extLst>
            <a:ext uri="{FF2B5EF4-FFF2-40B4-BE49-F238E27FC236}">
              <a16:creationId xmlns:a16="http://schemas.microsoft.com/office/drawing/2014/main" id="{553B60BA-0E7A-4093-AB66-8BC4E47EB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27</xdr:row>
      <xdr:rowOff>72571</xdr:rowOff>
    </xdr:from>
    <xdr:to>
      <xdr:col>2</xdr:col>
      <xdr:colOff>350762</xdr:colOff>
      <xdr:row>36</xdr:row>
      <xdr:rowOff>31095</xdr:rowOff>
    </xdr:to>
    <mc:AlternateContent xmlns:mc="http://schemas.openxmlformats.org/markup-compatibility/2006">
      <mc:Choice xmlns:a14="http://schemas.microsoft.com/office/drawing/2010/main" Requires="a14">
        <xdr:graphicFrame macro="">
          <xdr:nvGraphicFramePr>
            <xdr:cNvPr id="22" name="Hotel_Name 1">
              <a:extLst>
                <a:ext uri="{FF2B5EF4-FFF2-40B4-BE49-F238E27FC236}">
                  <a16:creationId xmlns:a16="http://schemas.microsoft.com/office/drawing/2014/main" id="{7EADAF77-C1FB-4617-95E4-B0D03B98ED51}"/>
                </a:ext>
              </a:extLst>
            </xdr:cNvPr>
            <xdr:cNvGraphicFramePr/>
          </xdr:nvGraphicFramePr>
          <xdr:xfrm>
            <a:off x="0" y="0"/>
            <a:ext cx="0" cy="0"/>
          </xdr:xfrm>
          <a:graphic>
            <a:graphicData uri="http://schemas.microsoft.com/office/drawing/2010/slicer">
              <sle:slicer xmlns:sle="http://schemas.microsoft.com/office/drawing/2010/slicer" name="Hotel_Name 1"/>
            </a:graphicData>
          </a:graphic>
        </xdr:graphicFrame>
      </mc:Choice>
      <mc:Fallback>
        <xdr:sp macro="" textlink="">
          <xdr:nvSpPr>
            <xdr:cNvPr id="0" name=""/>
            <xdr:cNvSpPr>
              <a:spLocks noTextEdit="1"/>
            </xdr:cNvSpPr>
          </xdr:nvSpPr>
          <xdr:spPr>
            <a:xfrm>
              <a:off x="0" y="5296136"/>
              <a:ext cx="1565545" cy="1869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234017</xdr:colOff>
      <xdr:row>23</xdr:row>
      <xdr:rowOff>74543</xdr:rowOff>
    </xdr:from>
    <xdr:to>
      <xdr:col>23</xdr:col>
      <xdr:colOff>435692</xdr:colOff>
      <xdr:row>36</xdr:row>
      <xdr:rowOff>165652</xdr:rowOff>
    </xdr:to>
    <xdr:graphicFrame macro="">
      <xdr:nvGraphicFramePr>
        <xdr:cNvPr id="23" name="Chart 22">
          <a:extLst>
            <a:ext uri="{FF2B5EF4-FFF2-40B4-BE49-F238E27FC236}">
              <a16:creationId xmlns:a16="http://schemas.microsoft.com/office/drawing/2014/main" id="{EF1284AB-1E50-43FB-89D5-AA22C2AC3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204306</xdr:colOff>
      <xdr:row>4</xdr:row>
      <xdr:rowOff>140805</xdr:rowOff>
    </xdr:from>
    <xdr:to>
      <xdr:col>6</xdr:col>
      <xdr:colOff>593588</xdr:colOff>
      <xdr:row>5</xdr:row>
      <xdr:rowOff>289891</xdr:rowOff>
    </xdr:to>
    <xdr:sp macro="" textlink="">
      <xdr:nvSpPr>
        <xdr:cNvPr id="24" name="Rectangle: Rounded Corners 23">
          <a:extLst>
            <a:ext uri="{FF2B5EF4-FFF2-40B4-BE49-F238E27FC236}">
              <a16:creationId xmlns:a16="http://schemas.microsoft.com/office/drawing/2014/main" id="{690F9794-D2AF-2B94-D7D9-F094CBD1977A}"/>
            </a:ext>
          </a:extLst>
        </xdr:cNvPr>
        <xdr:cNvSpPr/>
      </xdr:nvSpPr>
      <xdr:spPr>
        <a:xfrm>
          <a:off x="2633871" y="935935"/>
          <a:ext cx="1604065" cy="3368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₹11.1M</a:t>
          </a:r>
        </a:p>
      </xdr:txBody>
    </xdr:sp>
    <xdr:clientData/>
  </xdr:twoCellAnchor>
  <xdr:twoCellAnchor>
    <xdr:from>
      <xdr:col>8</xdr:col>
      <xdr:colOff>521805</xdr:colOff>
      <xdr:row>4</xdr:row>
      <xdr:rowOff>157368</xdr:rowOff>
    </xdr:from>
    <xdr:to>
      <xdr:col>11</xdr:col>
      <xdr:colOff>140806</xdr:colOff>
      <xdr:row>6</xdr:row>
      <xdr:rowOff>41412</xdr:rowOff>
    </xdr:to>
    <xdr:sp macro="" textlink="">
      <xdr:nvSpPr>
        <xdr:cNvPr id="27" name="Rectangle: Rounded Corners 26">
          <a:extLst>
            <a:ext uri="{FF2B5EF4-FFF2-40B4-BE49-F238E27FC236}">
              <a16:creationId xmlns:a16="http://schemas.microsoft.com/office/drawing/2014/main" id="{193761E6-BED0-147B-9512-B0B9FF993B0F}"/>
            </a:ext>
          </a:extLst>
        </xdr:cNvPr>
        <xdr:cNvSpPr/>
      </xdr:nvSpPr>
      <xdr:spPr>
        <a:xfrm>
          <a:off x="5425109" y="944216"/>
          <a:ext cx="1457740" cy="3644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500</a:t>
          </a:r>
        </a:p>
      </xdr:txBody>
    </xdr:sp>
    <xdr:clientData/>
  </xdr:twoCellAnchor>
  <xdr:twoCellAnchor>
    <xdr:from>
      <xdr:col>12</xdr:col>
      <xdr:colOff>472108</xdr:colOff>
      <xdr:row>4</xdr:row>
      <xdr:rowOff>157369</xdr:rowOff>
    </xdr:from>
    <xdr:to>
      <xdr:col>15</xdr:col>
      <xdr:colOff>0</xdr:colOff>
      <xdr:row>6</xdr:row>
      <xdr:rowOff>66261</xdr:rowOff>
    </xdr:to>
    <xdr:sp macro="" textlink="">
      <xdr:nvSpPr>
        <xdr:cNvPr id="29" name="Rectangle: Rounded Corners 28">
          <a:extLst>
            <a:ext uri="{FF2B5EF4-FFF2-40B4-BE49-F238E27FC236}">
              <a16:creationId xmlns:a16="http://schemas.microsoft.com/office/drawing/2014/main" id="{5CA45488-3FF8-92C2-50FD-35911EEFD193}"/>
            </a:ext>
          </a:extLst>
        </xdr:cNvPr>
        <xdr:cNvSpPr/>
      </xdr:nvSpPr>
      <xdr:spPr>
        <a:xfrm>
          <a:off x="7827065" y="944217"/>
          <a:ext cx="1366631" cy="389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124239</xdr:colOff>
      <xdr:row>4</xdr:row>
      <xdr:rowOff>149086</xdr:rowOff>
    </xdr:from>
    <xdr:to>
      <xdr:col>14</xdr:col>
      <xdr:colOff>383130</xdr:colOff>
      <xdr:row>6</xdr:row>
      <xdr:rowOff>113742</xdr:rowOff>
    </xdr:to>
    <xdr:pic>
      <xdr:nvPicPr>
        <xdr:cNvPr id="30" name="Picture 29">
          <a:extLst>
            <a:ext uri="{FF2B5EF4-FFF2-40B4-BE49-F238E27FC236}">
              <a16:creationId xmlns:a16="http://schemas.microsoft.com/office/drawing/2014/main" id="{F7133EC5-CBCE-A3CF-12C8-85B7E711953A}"/>
            </a:ext>
          </a:extLst>
        </xdr:cNvPr>
        <xdr:cNvPicPr>
          <a:picLocks noChangeAspect="1"/>
        </xdr:cNvPicPr>
      </xdr:nvPicPr>
      <xdr:blipFill>
        <a:blip xmlns:r="http://schemas.openxmlformats.org/officeDocument/2006/relationships" r:embed="rId7"/>
        <a:stretch>
          <a:fillRect/>
        </a:stretch>
      </xdr:blipFill>
      <xdr:spPr>
        <a:xfrm>
          <a:off x="8092109" y="935934"/>
          <a:ext cx="871804" cy="445047"/>
        </a:xfrm>
        <a:prstGeom prst="rect">
          <a:avLst/>
        </a:prstGeom>
      </xdr:spPr>
    </xdr:pic>
    <xdr:clientData/>
  </xdr:twoCellAnchor>
  <xdr:twoCellAnchor>
    <xdr:from>
      <xdr:col>16</xdr:col>
      <xdr:colOff>215348</xdr:colOff>
      <xdr:row>4</xdr:row>
      <xdr:rowOff>149087</xdr:rowOff>
    </xdr:from>
    <xdr:to>
      <xdr:col>18</xdr:col>
      <xdr:colOff>331304</xdr:colOff>
      <xdr:row>6</xdr:row>
      <xdr:rowOff>49696</xdr:rowOff>
    </xdr:to>
    <xdr:sp macro="" textlink="">
      <xdr:nvSpPr>
        <xdr:cNvPr id="31" name="Rectangle: Rounded Corners 30">
          <a:extLst>
            <a:ext uri="{FF2B5EF4-FFF2-40B4-BE49-F238E27FC236}">
              <a16:creationId xmlns:a16="http://schemas.microsoft.com/office/drawing/2014/main" id="{58CD4864-510C-F34C-15FE-881AA7FD80F5}"/>
            </a:ext>
          </a:extLst>
        </xdr:cNvPr>
        <xdr:cNvSpPr/>
      </xdr:nvSpPr>
      <xdr:spPr>
        <a:xfrm>
          <a:off x="10021957" y="935935"/>
          <a:ext cx="1341782"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422414</xdr:colOff>
      <xdr:row>4</xdr:row>
      <xdr:rowOff>132522</xdr:rowOff>
    </xdr:from>
    <xdr:to>
      <xdr:col>18</xdr:col>
      <xdr:colOff>68392</xdr:colOff>
      <xdr:row>6</xdr:row>
      <xdr:rowOff>97178</xdr:rowOff>
    </xdr:to>
    <xdr:pic>
      <xdr:nvPicPr>
        <xdr:cNvPr id="32" name="Picture 31">
          <a:extLst>
            <a:ext uri="{FF2B5EF4-FFF2-40B4-BE49-F238E27FC236}">
              <a16:creationId xmlns:a16="http://schemas.microsoft.com/office/drawing/2014/main" id="{1EDDD33C-2E20-683A-65A7-D3B52151DBA9}"/>
            </a:ext>
          </a:extLst>
        </xdr:cNvPr>
        <xdr:cNvPicPr>
          <a:picLocks noChangeAspect="1"/>
        </xdr:cNvPicPr>
      </xdr:nvPicPr>
      <xdr:blipFill>
        <a:blip xmlns:r="http://schemas.openxmlformats.org/officeDocument/2006/relationships" r:embed="rId8"/>
        <a:stretch>
          <a:fillRect/>
        </a:stretch>
      </xdr:blipFill>
      <xdr:spPr>
        <a:xfrm>
          <a:off x="10229023" y="919370"/>
          <a:ext cx="871804" cy="445047"/>
        </a:xfrm>
        <a:prstGeom prst="rect">
          <a:avLst/>
        </a:prstGeom>
      </xdr:spPr>
    </xdr:pic>
    <xdr:clientData/>
  </xdr:twoCellAnchor>
  <xdr:twoCellAnchor>
    <xdr:from>
      <xdr:col>20</xdr:col>
      <xdr:colOff>149087</xdr:colOff>
      <xdr:row>4</xdr:row>
      <xdr:rowOff>173935</xdr:rowOff>
    </xdr:from>
    <xdr:to>
      <xdr:col>22</xdr:col>
      <xdr:colOff>132522</xdr:colOff>
      <xdr:row>6</xdr:row>
      <xdr:rowOff>16565</xdr:rowOff>
    </xdr:to>
    <xdr:sp macro="" textlink="">
      <xdr:nvSpPr>
        <xdr:cNvPr id="33" name="Rectangle: Rounded Corners 32">
          <a:extLst>
            <a:ext uri="{FF2B5EF4-FFF2-40B4-BE49-F238E27FC236}">
              <a16:creationId xmlns:a16="http://schemas.microsoft.com/office/drawing/2014/main" id="{70D0DCD5-8CFB-DE86-E001-1B5CBF28ADF1}"/>
            </a:ext>
          </a:extLst>
        </xdr:cNvPr>
        <xdr:cNvSpPr/>
      </xdr:nvSpPr>
      <xdr:spPr>
        <a:xfrm>
          <a:off x="12407348" y="960783"/>
          <a:ext cx="1209261" cy="3230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3.86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ra" refreshedDate="46179.643966203701" createdVersion="8" refreshedVersion="8" minRefreshableVersion="3" recordCount="500" xr:uid="{36E72903-4ABE-4CCB-ABCD-C31204C5DB6E}">
  <cacheSource type="worksheet">
    <worksheetSource name="Hospitalitydata"/>
  </cacheSource>
  <cacheFields count="16">
    <cacheField name="Booking_ID" numFmtId="0">
      <sharedItems/>
    </cacheField>
    <cacheField name="Booking_Date" numFmtId="0">
      <sharedItems count="271">
        <s v="2025-11-24"/>
        <s v="2025-10-30"/>
        <s v="2025-11-29"/>
        <s v="2025-06-24"/>
        <s v="2025-06-26"/>
        <s v="2025-11-18"/>
        <s v="2025-02-10"/>
        <s v="2025-12-10"/>
        <s v="2025-08-25"/>
        <s v="2025-07-25"/>
        <s v="2025-03-15"/>
        <s v="2025-07-05"/>
        <s v="2025-11-02"/>
        <s v="2025-12-16"/>
        <s v="2025-01-02"/>
        <s v="2025-03-20"/>
        <s v="2025-02-27"/>
        <s v="2025-02-05"/>
        <s v="2025-04-19"/>
        <s v="2025-08-13"/>
        <s v="2025-10-29"/>
        <s v="2025-09-21"/>
        <s v="2025-08-31"/>
        <s v="2025-01-28"/>
        <s v="2025-10-02"/>
        <s v="2025-01-26"/>
        <s v="2025-03-21"/>
        <s v="2025-09-15"/>
        <s v="2025-12-12"/>
        <s v="2025-08-03"/>
        <s v="2025-03-09"/>
        <s v="2025-02-07"/>
        <s v="2025-12-06"/>
        <s v="2025-06-25"/>
        <s v="2025-05-22"/>
        <s v="2025-10-15"/>
        <s v="2025-08-09"/>
        <s v="2025-07-01"/>
        <s v="2025-04-02"/>
        <s v="2025-07-15"/>
        <s v="2025-12-04"/>
        <s v="2025-12-14"/>
        <s v="2025-02-25"/>
        <s v="2025-10-23"/>
        <s v="2025-07-06"/>
        <s v="2025-06-17"/>
        <s v="2025-11-12"/>
        <s v="2025-08-27"/>
        <s v="2025-02-17"/>
        <s v="2025-09-01"/>
        <s v="2025-09-11"/>
        <s v="2025-11-10"/>
        <s v="2025-05-13"/>
        <s v="2025-05-27"/>
        <s v="2025-12-22"/>
        <s v="2025-04-16"/>
        <s v="2025-06-02"/>
        <s v="2025-05-20"/>
        <s v="2025-07-21"/>
        <s v="2025-05-14"/>
        <s v="2025-08-29"/>
        <s v="2025-05-07"/>
        <s v="2025-06-09"/>
        <s v="2025-02-22"/>
        <s v="2025-12-05"/>
        <s v="2025-11-22"/>
        <s v="2025-08-26"/>
        <s v="2025-02-13"/>
        <s v="2025-05-31"/>
        <s v="2025-08-06"/>
        <s v="2025-04-09"/>
        <s v="2025-06-04"/>
        <s v="2025-11-23"/>
        <s v="2025-11-07"/>
        <s v="2025-06-06"/>
        <s v="2025-05-30"/>
        <s v="2025-11-17"/>
        <s v="2025-01-31"/>
        <s v="2025-12-25"/>
        <s v="2025-11-06"/>
        <s v="2025-06-18"/>
        <s v="2025-05-10"/>
        <s v="2025-09-23"/>
        <s v="2025-10-10"/>
        <s v="2025-07-16"/>
        <s v="2025-07-30"/>
        <s v="2025-07-29"/>
        <s v="2025-05-01"/>
        <s v="2025-08-16"/>
        <s v="2025-11-14"/>
        <s v="2025-05-11"/>
        <s v="2025-01-05"/>
        <s v="2025-04-23"/>
        <s v="2025-06-08"/>
        <s v="2025-03-31"/>
        <s v="2025-09-04"/>
        <s v="2025-10-13"/>
        <s v="2025-10-27"/>
        <s v="2025-11-09"/>
        <s v="2025-01-20"/>
        <s v="2025-10-28"/>
        <s v="2025-12-20"/>
        <s v="2025-02-01"/>
        <s v="2025-04-30"/>
        <s v="2025-05-16"/>
        <s v="2025-08-20"/>
        <s v="2025-11-08"/>
        <s v="2025-08-07"/>
        <s v="2025-08-10"/>
        <s v="2025-02-23"/>
        <s v="2025-02-28"/>
        <s v="2025-04-03"/>
        <s v="2025-07-12"/>
        <s v="2025-01-04"/>
        <s v="2025-07-23"/>
        <s v="2025-12-30"/>
        <s v="2025-02-15"/>
        <s v="2025-06-23"/>
        <s v="2025-06-29"/>
        <s v="2025-11-05"/>
        <s v="2025-12-15"/>
        <s v="2025-09-14"/>
        <s v="2025-05-26"/>
        <s v="2025-11-26"/>
        <s v="2025-09-18"/>
        <s v="2025-10-01"/>
        <s v="2025-07-10"/>
        <s v="2025-09-20"/>
        <s v="2025-07-22"/>
        <s v="2025-05-28"/>
        <s v="2025-05-04"/>
        <s v="2025-07-19"/>
        <s v="2025-01-19"/>
        <s v="2025-08-12"/>
        <s v="2025-07-08"/>
        <s v="2025-10-07"/>
        <s v="2025-03-27"/>
        <s v="2025-02-08"/>
        <s v="2025-01-18"/>
        <s v="2025-06-10"/>
        <s v="2025-05-15"/>
        <s v="2025-06-03"/>
        <s v="2025-04-13"/>
        <s v="2025-03-06"/>
        <s v="2025-03-08"/>
        <s v="2025-11-30"/>
        <s v="2025-11-25"/>
        <s v="2025-03-22"/>
        <s v="2025-08-19"/>
        <s v="2025-01-12"/>
        <s v="2025-05-25"/>
        <s v="2025-10-11"/>
        <s v="2025-03-07"/>
        <s v="2025-12-29"/>
        <s v="2025-12-19"/>
        <s v="2025-10-26"/>
        <s v="2025-10-21"/>
        <s v="2025-12-13"/>
        <s v="2025-05-23"/>
        <s v="2025-06-12"/>
        <s v="2025-09-03"/>
        <s v="2025-05-05"/>
        <s v="2025-02-21"/>
        <s v="2025-04-06"/>
        <s v="2025-06-19"/>
        <s v="2025-10-18"/>
        <s v="2025-12-21"/>
        <s v="2025-09-27"/>
        <s v="2025-02-16"/>
        <s v="2025-10-14"/>
        <s v="2025-01-24"/>
        <s v="2025-02-11"/>
        <s v="2025-04-25"/>
        <s v="2025-07-31"/>
        <s v="2025-04-05"/>
        <s v="2025-08-02"/>
        <s v="2025-07-09"/>
        <s v="2025-01-08"/>
        <s v="2025-05-03"/>
        <s v="2025-10-16"/>
        <s v="2025-06-01"/>
        <s v="2025-05-12"/>
        <s v="2025-03-13"/>
        <s v="2025-07-11"/>
        <s v="2025-01-07"/>
        <s v="2025-11-27"/>
        <s v="2025-05-19"/>
        <s v="2025-12-31"/>
        <s v="2025-02-20"/>
        <s v="2025-03-28"/>
        <s v="2025-02-24"/>
        <s v="2025-05-24"/>
        <s v="2025-11-21"/>
        <s v="2025-08-17"/>
        <s v="2025-06-16"/>
        <s v="2025-12-11"/>
        <s v="2025-10-12"/>
        <s v="2025-09-06"/>
        <s v="2025-09-08"/>
        <s v="2025-05-18"/>
        <s v="2025-12-01"/>
        <s v="2025-03-02"/>
        <s v="2025-03-26"/>
        <s v="2025-06-15"/>
        <s v="2025-12-02"/>
        <s v="2025-03-14"/>
        <s v="2025-08-22"/>
        <s v="2025-05-09"/>
        <s v="2025-08-08"/>
        <s v="2025-02-06"/>
        <s v="2025-04-22"/>
        <s v="2025-08-05"/>
        <s v="2025-12-08"/>
        <s v="2025-09-25"/>
        <s v="2025-06-21"/>
        <s v="2025-01-29"/>
        <s v="2025-04-27"/>
        <s v="2025-03-18"/>
        <s v="2025-06-13"/>
        <s v="2025-04-11"/>
        <s v="2025-08-23"/>
        <s v="2025-08-11"/>
        <s v="2025-04-24"/>
        <s v="2025-03-30"/>
        <s v="2025-11-28"/>
        <s v="2025-10-06"/>
        <s v="2025-02-26"/>
        <s v="2025-12-26"/>
        <s v="2025-09-12"/>
        <s v="2025-01-25"/>
        <s v="2025-10-08"/>
        <s v="2025-07-04"/>
        <s v="2025-01-23"/>
        <s v="2025-10-20"/>
        <s v="2025-06-05"/>
        <s v="2025-06-14"/>
        <s v="2025-09-22"/>
        <s v="2025-03-11"/>
        <s v="2025-01-17"/>
        <s v="2025-03-25"/>
        <s v="2025-04-07"/>
        <s v="2025-12-18"/>
        <s v="2025-04-10"/>
        <s v="2025-03-05"/>
        <s v="2025-12-27"/>
        <s v="2025-01-21"/>
        <s v="2025-03-12"/>
        <s v="2025-10-19"/>
        <s v="2025-09-05"/>
        <s v="2025-07-26"/>
        <s v="2025-12-03"/>
        <s v="2025-09-13"/>
        <s v="2025-05-21"/>
        <s v="2025-05-17"/>
        <s v="2025-10-05"/>
        <s v="2025-05-02"/>
        <s v="2025-03-24"/>
        <s v="2025-01-13"/>
        <s v="2025-11-19"/>
        <s v="2025-01-06"/>
        <s v="2025-10-09"/>
        <s v="2025-06-11"/>
        <s v="2025-09-17"/>
        <s v="2025-04-29"/>
        <s v="2025-08-21"/>
        <s v="2025-10-24"/>
        <s v="2025-08-14"/>
        <s v="2025-03-10"/>
        <s v="2025-11-03"/>
        <s v="2025-01-09"/>
        <s v="2025-09-30"/>
      </sharedItems>
    </cacheField>
    <cacheField name="Check_In" numFmtId="0">
      <sharedItems/>
    </cacheField>
    <cacheField name="Check_Out" numFmtId="0">
      <sharedItems/>
    </cacheField>
    <cacheField name="Hotel_Name" numFmtId="0">
      <sharedItems count="5">
        <s v="Royal Stay"/>
        <s v="Urban Residency"/>
        <s v="Elite Inn"/>
        <s v="Grand Hotel"/>
        <s v="Skyline Suites"/>
      </sharedItems>
    </cacheField>
    <cacheField name="City" numFmtId="0">
      <sharedItems count="5">
        <s v="Bangalore"/>
        <s v="Chennai"/>
        <s v="Hyderabad"/>
        <s v="Mumbai"/>
        <s v="Delhi"/>
      </sharedItems>
    </cacheField>
    <cacheField name="Room_Type" numFmtId="0">
      <sharedItems count="3">
        <s v="Suite"/>
        <s v="Standard"/>
        <s v="Deluxe"/>
      </sharedItems>
    </cacheField>
    <cacheField name="Customer_Type" numFmtId="0">
      <sharedItems count="3">
        <s v="Family"/>
        <s v="Business"/>
        <s v="Leisure"/>
      </sharedItems>
    </cacheField>
    <cacheField name="Booking_Channel" numFmtId="0">
      <sharedItems count="4">
        <s v="Online"/>
        <s v="Travel Agent"/>
        <s v="Walk-in"/>
        <s v="Corporate"/>
      </sharedItems>
    </cacheField>
    <cacheField name="Room_Rate" numFmtId="0">
      <sharedItems containsSemiMixedTypes="0" containsString="0" containsNumber="1" containsInteger="1" minValue="2500" maxValue="9000"/>
    </cacheField>
    <cacheField name="Nights" numFmtId="0">
      <sharedItems containsSemiMixedTypes="0" containsString="0" containsNumber="1" containsInteger="1" minValue="1" maxValue="7"/>
    </cacheField>
    <cacheField name="Revenue" numFmtId="0">
      <sharedItems containsSemiMixedTypes="0" containsString="0" containsNumber="1" containsInteger="1" minValue="2500" maxValue="63000"/>
    </cacheField>
    <cacheField name="Occupancy_Status" numFmtId="0">
      <sharedItems/>
    </cacheField>
    <cacheField name="Rating" numFmtId="0">
      <sharedItems containsSemiMixedTypes="0" containsString="0" containsNumber="1" containsInteger="1" minValue="1" maxValue="5" count="5">
        <n v="3"/>
        <n v="5"/>
        <n v="4"/>
        <n v="2"/>
        <n v="1"/>
      </sharedItems>
    </cacheField>
    <cacheField name="Cancellation" numFmtId="0">
      <sharedItems/>
    </cacheField>
    <cacheField name="Month" numFmtId="0">
      <sharedItems count="12">
        <s v="Nov"/>
        <s v="Oct"/>
        <s v="Jun"/>
        <s v="Feb"/>
        <s v="Dec"/>
        <s v="Aug"/>
        <s v="Jul"/>
        <s v="Mar"/>
        <s v="Jan"/>
        <s v="Apr"/>
        <s v="Sep"/>
        <s v="May"/>
      </sharedItems>
    </cacheField>
  </cacheFields>
  <extLst>
    <ext xmlns:x14="http://schemas.microsoft.com/office/spreadsheetml/2009/9/main" uri="{725AE2AE-9491-48be-B2B4-4EB974FC3084}">
      <x14:pivotCacheDefinition pivotCacheId="19712633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ra" refreshedDate="46179.643967824071" createdVersion="8" refreshedVersion="8" minRefreshableVersion="3" recordCount="501" xr:uid="{8DA98463-D1BF-4576-90C5-44F50DBAF4C6}">
  <cacheSource type="worksheet">
    <worksheetSource ref="A1:O1048576" sheet="HospitalityData"/>
  </cacheSource>
  <cacheFields count="15">
    <cacheField name="Booking_ID" numFmtId="0">
      <sharedItems containsBlank="1"/>
    </cacheField>
    <cacheField name="Booking_Date" numFmtId="0">
      <sharedItems containsBlank="1"/>
    </cacheField>
    <cacheField name="Check_In" numFmtId="0">
      <sharedItems containsBlank="1"/>
    </cacheField>
    <cacheField name="Check_Out" numFmtId="0">
      <sharedItems containsBlank="1"/>
    </cacheField>
    <cacheField name="Hotel_Name" numFmtId="0">
      <sharedItems containsBlank="1" count="6">
        <s v="Royal Stay"/>
        <s v="Urban Residency"/>
        <s v="Elite Inn"/>
        <s v="Grand Hotel"/>
        <s v="Skyline Suites"/>
        <m/>
      </sharedItems>
    </cacheField>
    <cacheField name="City" numFmtId="0">
      <sharedItems containsBlank="1" count="6">
        <s v="Bangalore"/>
        <s v="Chennai"/>
        <s v="Hyderabad"/>
        <s v="Mumbai"/>
        <s v="Delhi"/>
        <m/>
      </sharedItems>
    </cacheField>
    <cacheField name="Room_Type" numFmtId="0">
      <sharedItems containsBlank="1"/>
    </cacheField>
    <cacheField name="Customer_Type" numFmtId="0">
      <sharedItems containsBlank="1"/>
    </cacheField>
    <cacheField name="Booking_Channel" numFmtId="0">
      <sharedItems containsBlank="1"/>
    </cacheField>
    <cacheField name="Room_Rate" numFmtId="0">
      <sharedItems containsString="0" containsBlank="1" containsNumber="1" containsInteger="1" minValue="2500" maxValue="9000"/>
    </cacheField>
    <cacheField name="Nights" numFmtId="0">
      <sharedItems containsString="0" containsBlank="1" containsNumber="1" containsInteger="1" minValue="1" maxValue="7"/>
    </cacheField>
    <cacheField name="Revenue" numFmtId="0">
      <sharedItems containsString="0" containsBlank="1" containsNumber="1" containsInteger="1" minValue="2500" maxValue="63000"/>
    </cacheField>
    <cacheField name="Occupancy_Status" numFmtId="0">
      <sharedItems containsBlank="1"/>
    </cacheField>
    <cacheField name="Rating" numFmtId="0">
      <sharedItems containsString="0" containsBlank="1" containsNumber="1" containsInteger="1" minValue="1" maxValue="5"/>
    </cacheField>
    <cacheField name="Cancella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B0001"/>
    <x v="0"/>
    <s v="2025-11-28"/>
    <s v="2025-11-29"/>
    <x v="0"/>
    <x v="0"/>
    <x v="0"/>
    <x v="0"/>
    <x v="0"/>
    <n v="9000"/>
    <n v="1"/>
    <n v="9000"/>
    <s v="Occupied"/>
    <x v="0"/>
    <s v="No"/>
    <x v="0"/>
  </r>
  <r>
    <s v="B0002"/>
    <x v="1"/>
    <s v="2025-11-13"/>
    <s v="2025-11-14"/>
    <x v="1"/>
    <x v="1"/>
    <x v="1"/>
    <x v="0"/>
    <x v="1"/>
    <n v="2500"/>
    <n v="1"/>
    <n v="2500"/>
    <s v="Occupied"/>
    <x v="0"/>
    <s v="No"/>
    <x v="1"/>
  </r>
  <r>
    <s v="B0003"/>
    <x v="2"/>
    <s v="2025-12-22"/>
    <s v="2025-12-27"/>
    <x v="2"/>
    <x v="0"/>
    <x v="1"/>
    <x v="0"/>
    <x v="2"/>
    <n v="5500"/>
    <n v="5"/>
    <n v="27500"/>
    <s v="Occupied"/>
    <x v="1"/>
    <s v="No"/>
    <x v="0"/>
  </r>
  <r>
    <s v="B0004"/>
    <x v="3"/>
    <s v="2025-07-03"/>
    <s v="2025-07-05"/>
    <x v="3"/>
    <x v="0"/>
    <x v="2"/>
    <x v="1"/>
    <x v="3"/>
    <n v="3500"/>
    <n v="2"/>
    <n v="7000"/>
    <s v="Cancelled"/>
    <x v="0"/>
    <s v="Yes"/>
    <x v="2"/>
  </r>
  <r>
    <s v="B0005"/>
    <x v="4"/>
    <s v="2025-07-16"/>
    <s v="2025-07-19"/>
    <x v="3"/>
    <x v="2"/>
    <x v="1"/>
    <x v="0"/>
    <x v="3"/>
    <n v="2500"/>
    <n v="3"/>
    <n v="7500"/>
    <s v="Occupied"/>
    <x v="1"/>
    <s v="No"/>
    <x v="2"/>
  </r>
  <r>
    <s v="B0006"/>
    <x v="5"/>
    <s v="2025-12-08"/>
    <s v="2025-12-15"/>
    <x v="3"/>
    <x v="0"/>
    <x v="0"/>
    <x v="1"/>
    <x v="3"/>
    <n v="4500"/>
    <n v="7"/>
    <n v="31500"/>
    <s v="Occupied"/>
    <x v="1"/>
    <s v="No"/>
    <x v="0"/>
  </r>
  <r>
    <s v="B0007"/>
    <x v="6"/>
    <s v="2025-03-10"/>
    <s v="2025-03-12"/>
    <x v="2"/>
    <x v="3"/>
    <x v="2"/>
    <x v="2"/>
    <x v="1"/>
    <n v="2500"/>
    <n v="2"/>
    <n v="5000"/>
    <s v="Occupied"/>
    <x v="2"/>
    <s v="No"/>
    <x v="3"/>
  </r>
  <r>
    <s v="B0008"/>
    <x v="7"/>
    <s v="2025-12-19"/>
    <s v="2025-12-25"/>
    <x v="0"/>
    <x v="1"/>
    <x v="0"/>
    <x v="1"/>
    <x v="1"/>
    <n v="9000"/>
    <n v="6"/>
    <n v="54000"/>
    <s v="Occupied"/>
    <x v="1"/>
    <s v="No"/>
    <x v="4"/>
  </r>
  <r>
    <s v="B0009"/>
    <x v="8"/>
    <s v="2025-09-07"/>
    <s v="2025-09-10"/>
    <x v="2"/>
    <x v="0"/>
    <x v="1"/>
    <x v="1"/>
    <x v="3"/>
    <n v="9000"/>
    <n v="3"/>
    <n v="27000"/>
    <s v="Occupied"/>
    <x v="0"/>
    <s v="No"/>
    <x v="5"/>
  </r>
  <r>
    <s v="B0010"/>
    <x v="9"/>
    <s v="2025-08-03"/>
    <s v="2025-08-04"/>
    <x v="0"/>
    <x v="2"/>
    <x v="2"/>
    <x v="0"/>
    <x v="2"/>
    <n v="3500"/>
    <n v="1"/>
    <n v="3500"/>
    <s v="Cancelled"/>
    <x v="0"/>
    <s v="Yes"/>
    <x v="6"/>
  </r>
  <r>
    <s v="B0011"/>
    <x v="10"/>
    <s v="2025-03-24"/>
    <s v="2025-03-26"/>
    <x v="2"/>
    <x v="1"/>
    <x v="2"/>
    <x v="0"/>
    <x v="2"/>
    <n v="3500"/>
    <n v="2"/>
    <n v="7000"/>
    <s v="Occupied"/>
    <x v="1"/>
    <s v="No"/>
    <x v="7"/>
  </r>
  <r>
    <s v="B0012"/>
    <x v="11"/>
    <s v="2025-07-13"/>
    <s v="2025-07-15"/>
    <x v="3"/>
    <x v="3"/>
    <x v="0"/>
    <x v="1"/>
    <x v="2"/>
    <n v="7000"/>
    <n v="2"/>
    <n v="14000"/>
    <s v="Occupied"/>
    <x v="0"/>
    <s v="No"/>
    <x v="6"/>
  </r>
  <r>
    <s v="B0013"/>
    <x v="12"/>
    <s v="2025-11-05"/>
    <s v="2025-11-09"/>
    <x v="1"/>
    <x v="4"/>
    <x v="0"/>
    <x v="1"/>
    <x v="0"/>
    <n v="5500"/>
    <n v="4"/>
    <n v="22000"/>
    <s v="Occupied"/>
    <x v="2"/>
    <s v="No"/>
    <x v="0"/>
  </r>
  <r>
    <s v="B0014"/>
    <x v="13"/>
    <s v="2026-01-14"/>
    <s v="2026-01-19"/>
    <x v="3"/>
    <x v="4"/>
    <x v="2"/>
    <x v="1"/>
    <x v="2"/>
    <n v="4500"/>
    <n v="5"/>
    <n v="22500"/>
    <s v="Occupied"/>
    <x v="2"/>
    <s v="No"/>
    <x v="4"/>
  </r>
  <r>
    <s v="B0015"/>
    <x v="14"/>
    <s v="2025-01-26"/>
    <s v="2025-02-01"/>
    <x v="1"/>
    <x v="0"/>
    <x v="0"/>
    <x v="2"/>
    <x v="1"/>
    <n v="4500"/>
    <n v="6"/>
    <n v="27000"/>
    <s v="Cancelled"/>
    <x v="3"/>
    <s v="Yes"/>
    <x v="8"/>
  </r>
  <r>
    <s v="B0016"/>
    <x v="15"/>
    <s v="2025-04-01"/>
    <s v="2025-04-08"/>
    <x v="3"/>
    <x v="1"/>
    <x v="2"/>
    <x v="2"/>
    <x v="0"/>
    <n v="3500"/>
    <n v="7"/>
    <n v="24500"/>
    <s v="Occupied"/>
    <x v="1"/>
    <s v="No"/>
    <x v="7"/>
  </r>
  <r>
    <s v="B0017"/>
    <x v="16"/>
    <s v="2025-03-29"/>
    <s v="2025-04-01"/>
    <x v="1"/>
    <x v="0"/>
    <x v="1"/>
    <x v="0"/>
    <x v="2"/>
    <n v="4500"/>
    <n v="3"/>
    <n v="13500"/>
    <s v="Occupied"/>
    <x v="0"/>
    <s v="No"/>
    <x v="3"/>
  </r>
  <r>
    <s v="B0018"/>
    <x v="17"/>
    <s v="2025-03-02"/>
    <s v="2025-03-07"/>
    <x v="1"/>
    <x v="3"/>
    <x v="2"/>
    <x v="0"/>
    <x v="2"/>
    <n v="3500"/>
    <n v="5"/>
    <n v="17500"/>
    <s v="Occupied"/>
    <x v="2"/>
    <s v="No"/>
    <x v="3"/>
  </r>
  <r>
    <s v="B0019"/>
    <x v="18"/>
    <s v="2025-05-19"/>
    <s v="2025-05-24"/>
    <x v="2"/>
    <x v="2"/>
    <x v="0"/>
    <x v="0"/>
    <x v="3"/>
    <n v="9000"/>
    <n v="5"/>
    <n v="45000"/>
    <s v="Occupied"/>
    <x v="1"/>
    <s v="No"/>
    <x v="9"/>
  </r>
  <r>
    <s v="B0020"/>
    <x v="19"/>
    <s v="2025-09-11"/>
    <s v="2025-09-16"/>
    <x v="3"/>
    <x v="4"/>
    <x v="1"/>
    <x v="0"/>
    <x v="1"/>
    <n v="5500"/>
    <n v="5"/>
    <n v="27500"/>
    <s v="Occupied"/>
    <x v="0"/>
    <s v="No"/>
    <x v="5"/>
  </r>
  <r>
    <s v="B0021"/>
    <x v="20"/>
    <s v="2025-11-06"/>
    <s v="2025-11-07"/>
    <x v="0"/>
    <x v="0"/>
    <x v="1"/>
    <x v="2"/>
    <x v="0"/>
    <n v="2500"/>
    <n v="1"/>
    <n v="2500"/>
    <s v="Occupied"/>
    <x v="0"/>
    <s v="No"/>
    <x v="1"/>
  </r>
  <r>
    <s v="B0022"/>
    <x v="21"/>
    <s v="2025-09-29"/>
    <s v="2025-10-02"/>
    <x v="0"/>
    <x v="1"/>
    <x v="0"/>
    <x v="2"/>
    <x v="1"/>
    <n v="9000"/>
    <n v="3"/>
    <n v="27000"/>
    <s v="Occupied"/>
    <x v="1"/>
    <s v="No"/>
    <x v="10"/>
  </r>
  <r>
    <s v="B0023"/>
    <x v="22"/>
    <s v="2025-09-26"/>
    <s v="2025-09-30"/>
    <x v="4"/>
    <x v="4"/>
    <x v="2"/>
    <x v="2"/>
    <x v="2"/>
    <n v="3500"/>
    <n v="4"/>
    <n v="14000"/>
    <s v="Occupied"/>
    <x v="1"/>
    <s v="No"/>
    <x v="5"/>
  </r>
  <r>
    <s v="B0024"/>
    <x v="23"/>
    <s v="2025-02-19"/>
    <s v="2025-02-25"/>
    <x v="2"/>
    <x v="0"/>
    <x v="1"/>
    <x v="1"/>
    <x v="1"/>
    <n v="9000"/>
    <n v="6"/>
    <n v="54000"/>
    <s v="Occupied"/>
    <x v="2"/>
    <s v="No"/>
    <x v="8"/>
  </r>
  <r>
    <s v="B0025"/>
    <x v="24"/>
    <s v="2025-10-17"/>
    <s v="2025-10-19"/>
    <x v="0"/>
    <x v="0"/>
    <x v="2"/>
    <x v="0"/>
    <x v="0"/>
    <n v="5500"/>
    <n v="2"/>
    <n v="11000"/>
    <s v="Occupied"/>
    <x v="2"/>
    <s v="No"/>
    <x v="1"/>
  </r>
  <r>
    <s v="B0026"/>
    <x v="25"/>
    <s v="2025-02-16"/>
    <s v="2025-02-21"/>
    <x v="0"/>
    <x v="2"/>
    <x v="2"/>
    <x v="2"/>
    <x v="1"/>
    <n v="2500"/>
    <n v="5"/>
    <n v="12500"/>
    <s v="Cancelled"/>
    <x v="3"/>
    <s v="Yes"/>
    <x v="8"/>
  </r>
  <r>
    <s v="B0027"/>
    <x v="9"/>
    <s v="2025-08-23"/>
    <s v="2025-08-24"/>
    <x v="2"/>
    <x v="2"/>
    <x v="2"/>
    <x v="2"/>
    <x v="2"/>
    <n v="3500"/>
    <n v="1"/>
    <n v="3500"/>
    <s v="Occupied"/>
    <x v="2"/>
    <s v="No"/>
    <x v="6"/>
  </r>
  <r>
    <s v="B0028"/>
    <x v="26"/>
    <s v="2025-03-28"/>
    <s v="2025-03-31"/>
    <x v="2"/>
    <x v="0"/>
    <x v="1"/>
    <x v="0"/>
    <x v="2"/>
    <n v="3500"/>
    <n v="3"/>
    <n v="10500"/>
    <s v="Cancelled"/>
    <x v="4"/>
    <s v="Yes"/>
    <x v="7"/>
  </r>
  <r>
    <s v="B0029"/>
    <x v="27"/>
    <s v="2025-10-15"/>
    <s v="2025-10-22"/>
    <x v="3"/>
    <x v="3"/>
    <x v="1"/>
    <x v="0"/>
    <x v="0"/>
    <n v="7000"/>
    <n v="7"/>
    <n v="49000"/>
    <s v="Occupied"/>
    <x v="1"/>
    <s v="No"/>
    <x v="10"/>
  </r>
  <r>
    <s v="B0030"/>
    <x v="28"/>
    <s v="2026-01-09"/>
    <s v="2026-01-11"/>
    <x v="0"/>
    <x v="1"/>
    <x v="0"/>
    <x v="1"/>
    <x v="0"/>
    <n v="5500"/>
    <n v="2"/>
    <n v="11000"/>
    <s v="Occupied"/>
    <x v="1"/>
    <s v="No"/>
    <x v="4"/>
  </r>
  <r>
    <s v="B0031"/>
    <x v="29"/>
    <s v="2025-08-25"/>
    <s v="2025-08-30"/>
    <x v="0"/>
    <x v="4"/>
    <x v="1"/>
    <x v="2"/>
    <x v="2"/>
    <n v="7000"/>
    <n v="5"/>
    <n v="35000"/>
    <s v="Occupied"/>
    <x v="2"/>
    <s v="No"/>
    <x v="5"/>
  </r>
  <r>
    <s v="B0032"/>
    <x v="30"/>
    <s v="2025-03-31"/>
    <s v="2025-04-06"/>
    <x v="3"/>
    <x v="2"/>
    <x v="0"/>
    <x v="0"/>
    <x v="0"/>
    <n v="4500"/>
    <n v="6"/>
    <n v="27000"/>
    <s v="Occupied"/>
    <x v="0"/>
    <s v="No"/>
    <x v="7"/>
  </r>
  <r>
    <s v="B0033"/>
    <x v="31"/>
    <s v="2025-02-25"/>
    <s v="2025-02-27"/>
    <x v="3"/>
    <x v="3"/>
    <x v="2"/>
    <x v="2"/>
    <x v="1"/>
    <n v="7000"/>
    <n v="2"/>
    <n v="14000"/>
    <s v="Occupied"/>
    <x v="2"/>
    <s v="No"/>
    <x v="3"/>
  </r>
  <r>
    <s v="B0034"/>
    <x v="19"/>
    <s v="2025-09-09"/>
    <s v="2025-09-14"/>
    <x v="1"/>
    <x v="0"/>
    <x v="0"/>
    <x v="0"/>
    <x v="3"/>
    <n v="9000"/>
    <n v="5"/>
    <n v="45000"/>
    <s v="Occupied"/>
    <x v="1"/>
    <s v="No"/>
    <x v="5"/>
  </r>
  <r>
    <s v="B0035"/>
    <x v="32"/>
    <s v="2025-12-10"/>
    <s v="2025-12-12"/>
    <x v="1"/>
    <x v="3"/>
    <x v="2"/>
    <x v="2"/>
    <x v="1"/>
    <n v="4500"/>
    <n v="2"/>
    <n v="9000"/>
    <s v="Occupied"/>
    <x v="0"/>
    <s v="No"/>
    <x v="4"/>
  </r>
  <r>
    <s v="B0036"/>
    <x v="33"/>
    <s v="2025-07-02"/>
    <s v="2025-07-08"/>
    <x v="2"/>
    <x v="0"/>
    <x v="1"/>
    <x v="0"/>
    <x v="2"/>
    <n v="9000"/>
    <n v="6"/>
    <n v="54000"/>
    <s v="Cancelled"/>
    <x v="2"/>
    <s v="Yes"/>
    <x v="2"/>
  </r>
  <r>
    <s v="B0037"/>
    <x v="34"/>
    <s v="2025-05-24"/>
    <s v="2025-05-25"/>
    <x v="2"/>
    <x v="3"/>
    <x v="0"/>
    <x v="2"/>
    <x v="2"/>
    <n v="4500"/>
    <n v="1"/>
    <n v="4500"/>
    <s v="Occupied"/>
    <x v="1"/>
    <s v="No"/>
    <x v="11"/>
  </r>
  <r>
    <s v="B0038"/>
    <x v="35"/>
    <s v="2025-10-16"/>
    <s v="2025-10-17"/>
    <x v="1"/>
    <x v="0"/>
    <x v="2"/>
    <x v="0"/>
    <x v="1"/>
    <n v="2500"/>
    <n v="1"/>
    <n v="2500"/>
    <s v="Cancelled"/>
    <x v="3"/>
    <s v="Yes"/>
    <x v="1"/>
  </r>
  <r>
    <s v="B0039"/>
    <x v="36"/>
    <s v="2025-08-14"/>
    <s v="2025-08-15"/>
    <x v="2"/>
    <x v="3"/>
    <x v="0"/>
    <x v="1"/>
    <x v="0"/>
    <n v="4500"/>
    <n v="1"/>
    <n v="4500"/>
    <s v="Occupied"/>
    <x v="0"/>
    <s v="No"/>
    <x v="5"/>
  </r>
  <r>
    <s v="B0040"/>
    <x v="37"/>
    <s v="2025-07-26"/>
    <s v="2025-07-31"/>
    <x v="0"/>
    <x v="3"/>
    <x v="1"/>
    <x v="2"/>
    <x v="0"/>
    <n v="5500"/>
    <n v="5"/>
    <n v="27500"/>
    <s v="Cancelled"/>
    <x v="3"/>
    <s v="Yes"/>
    <x v="6"/>
  </r>
  <r>
    <s v="B0041"/>
    <x v="38"/>
    <s v="2025-04-26"/>
    <s v="2025-04-29"/>
    <x v="0"/>
    <x v="4"/>
    <x v="1"/>
    <x v="0"/>
    <x v="0"/>
    <n v="5500"/>
    <n v="3"/>
    <n v="16500"/>
    <s v="Occupied"/>
    <x v="1"/>
    <s v="No"/>
    <x v="9"/>
  </r>
  <r>
    <s v="B0042"/>
    <x v="39"/>
    <s v="2025-08-12"/>
    <s v="2025-08-13"/>
    <x v="2"/>
    <x v="4"/>
    <x v="1"/>
    <x v="1"/>
    <x v="0"/>
    <n v="5500"/>
    <n v="1"/>
    <n v="5500"/>
    <s v="Occupied"/>
    <x v="2"/>
    <s v="No"/>
    <x v="6"/>
  </r>
  <r>
    <s v="B0043"/>
    <x v="40"/>
    <s v="2025-12-11"/>
    <s v="2025-12-15"/>
    <x v="2"/>
    <x v="4"/>
    <x v="0"/>
    <x v="0"/>
    <x v="2"/>
    <n v="4500"/>
    <n v="4"/>
    <n v="18000"/>
    <s v="Occupied"/>
    <x v="0"/>
    <s v="No"/>
    <x v="4"/>
  </r>
  <r>
    <s v="B0044"/>
    <x v="41"/>
    <s v="2026-01-10"/>
    <s v="2026-01-15"/>
    <x v="2"/>
    <x v="3"/>
    <x v="0"/>
    <x v="2"/>
    <x v="0"/>
    <n v="4500"/>
    <n v="5"/>
    <n v="22500"/>
    <s v="Cancelled"/>
    <x v="4"/>
    <s v="Yes"/>
    <x v="4"/>
  </r>
  <r>
    <s v="B0045"/>
    <x v="42"/>
    <s v="2025-03-17"/>
    <s v="2025-03-21"/>
    <x v="4"/>
    <x v="1"/>
    <x v="0"/>
    <x v="1"/>
    <x v="2"/>
    <n v="4500"/>
    <n v="4"/>
    <n v="18000"/>
    <s v="Occupied"/>
    <x v="2"/>
    <s v="No"/>
    <x v="3"/>
  </r>
  <r>
    <s v="B0046"/>
    <x v="43"/>
    <s v="2025-10-30"/>
    <s v="2025-11-02"/>
    <x v="1"/>
    <x v="1"/>
    <x v="0"/>
    <x v="0"/>
    <x v="1"/>
    <n v="2500"/>
    <n v="3"/>
    <n v="7500"/>
    <s v="Occupied"/>
    <x v="0"/>
    <s v="No"/>
    <x v="1"/>
  </r>
  <r>
    <s v="B0047"/>
    <x v="44"/>
    <s v="2025-07-20"/>
    <s v="2025-07-21"/>
    <x v="3"/>
    <x v="4"/>
    <x v="0"/>
    <x v="2"/>
    <x v="2"/>
    <n v="9000"/>
    <n v="1"/>
    <n v="9000"/>
    <s v="Cancelled"/>
    <x v="0"/>
    <s v="Yes"/>
    <x v="6"/>
  </r>
  <r>
    <s v="B0048"/>
    <x v="45"/>
    <s v="2025-06-30"/>
    <s v="2025-07-06"/>
    <x v="4"/>
    <x v="2"/>
    <x v="0"/>
    <x v="0"/>
    <x v="1"/>
    <n v="4500"/>
    <n v="6"/>
    <n v="27000"/>
    <s v="Occupied"/>
    <x v="0"/>
    <s v="No"/>
    <x v="2"/>
  </r>
  <r>
    <s v="B0049"/>
    <x v="46"/>
    <s v="2025-12-01"/>
    <s v="2025-12-04"/>
    <x v="2"/>
    <x v="4"/>
    <x v="1"/>
    <x v="2"/>
    <x v="3"/>
    <n v="5500"/>
    <n v="3"/>
    <n v="16500"/>
    <s v="Occupied"/>
    <x v="0"/>
    <s v="No"/>
    <x v="0"/>
  </r>
  <r>
    <s v="B0050"/>
    <x v="47"/>
    <s v="2025-09-11"/>
    <s v="2025-09-15"/>
    <x v="0"/>
    <x v="0"/>
    <x v="2"/>
    <x v="0"/>
    <x v="3"/>
    <n v="9000"/>
    <n v="4"/>
    <n v="36000"/>
    <s v="Occupied"/>
    <x v="2"/>
    <s v="No"/>
    <x v="5"/>
  </r>
  <r>
    <s v="B0051"/>
    <x v="48"/>
    <s v="2025-03-16"/>
    <s v="2025-03-23"/>
    <x v="0"/>
    <x v="3"/>
    <x v="1"/>
    <x v="1"/>
    <x v="1"/>
    <n v="3500"/>
    <n v="7"/>
    <n v="24500"/>
    <s v="Occupied"/>
    <x v="0"/>
    <s v="No"/>
    <x v="3"/>
  </r>
  <r>
    <s v="B0052"/>
    <x v="49"/>
    <s v="2025-09-21"/>
    <s v="2025-09-28"/>
    <x v="1"/>
    <x v="3"/>
    <x v="0"/>
    <x v="0"/>
    <x v="2"/>
    <n v="2500"/>
    <n v="7"/>
    <n v="17500"/>
    <s v="Occupied"/>
    <x v="1"/>
    <s v="No"/>
    <x v="10"/>
  </r>
  <r>
    <s v="B0053"/>
    <x v="50"/>
    <s v="2025-09-24"/>
    <s v="2025-09-26"/>
    <x v="3"/>
    <x v="2"/>
    <x v="1"/>
    <x v="1"/>
    <x v="2"/>
    <n v="3500"/>
    <n v="2"/>
    <n v="7000"/>
    <s v="Occupied"/>
    <x v="0"/>
    <s v="No"/>
    <x v="10"/>
  </r>
  <r>
    <s v="B0054"/>
    <x v="25"/>
    <s v="2025-02-13"/>
    <s v="2025-02-15"/>
    <x v="1"/>
    <x v="1"/>
    <x v="0"/>
    <x v="2"/>
    <x v="2"/>
    <n v="2500"/>
    <n v="2"/>
    <n v="5000"/>
    <s v="Occupied"/>
    <x v="2"/>
    <s v="No"/>
    <x v="8"/>
  </r>
  <r>
    <s v="B0055"/>
    <x v="51"/>
    <s v="2025-12-07"/>
    <s v="2025-12-13"/>
    <x v="4"/>
    <x v="3"/>
    <x v="0"/>
    <x v="2"/>
    <x v="2"/>
    <n v="7000"/>
    <n v="6"/>
    <n v="42000"/>
    <s v="Occupied"/>
    <x v="1"/>
    <s v="No"/>
    <x v="0"/>
  </r>
  <r>
    <s v="B0056"/>
    <x v="52"/>
    <s v="2025-06-07"/>
    <s v="2025-06-09"/>
    <x v="4"/>
    <x v="3"/>
    <x v="2"/>
    <x v="2"/>
    <x v="0"/>
    <n v="9000"/>
    <n v="2"/>
    <n v="18000"/>
    <s v="Occupied"/>
    <x v="1"/>
    <s v="No"/>
    <x v="11"/>
  </r>
  <r>
    <s v="B0057"/>
    <x v="53"/>
    <s v="2025-06-04"/>
    <s v="2025-06-07"/>
    <x v="3"/>
    <x v="3"/>
    <x v="1"/>
    <x v="1"/>
    <x v="2"/>
    <n v="4500"/>
    <n v="3"/>
    <n v="13500"/>
    <s v="Occupied"/>
    <x v="1"/>
    <s v="No"/>
    <x v="11"/>
  </r>
  <r>
    <s v="B0058"/>
    <x v="54"/>
    <s v="2025-12-27"/>
    <s v="2026-01-02"/>
    <x v="2"/>
    <x v="1"/>
    <x v="2"/>
    <x v="2"/>
    <x v="0"/>
    <n v="3500"/>
    <n v="6"/>
    <n v="21000"/>
    <s v="Occupied"/>
    <x v="2"/>
    <s v="No"/>
    <x v="4"/>
  </r>
  <r>
    <s v="B0059"/>
    <x v="55"/>
    <s v="2025-05-13"/>
    <s v="2025-05-17"/>
    <x v="1"/>
    <x v="2"/>
    <x v="2"/>
    <x v="1"/>
    <x v="3"/>
    <n v="5500"/>
    <n v="4"/>
    <n v="22000"/>
    <s v="Cancelled"/>
    <x v="4"/>
    <s v="Yes"/>
    <x v="9"/>
  </r>
  <r>
    <s v="B0060"/>
    <x v="56"/>
    <s v="2025-06-27"/>
    <s v="2025-07-01"/>
    <x v="1"/>
    <x v="1"/>
    <x v="1"/>
    <x v="2"/>
    <x v="1"/>
    <n v="5500"/>
    <n v="4"/>
    <n v="22000"/>
    <s v="Occupied"/>
    <x v="1"/>
    <s v="No"/>
    <x v="2"/>
  </r>
  <r>
    <s v="B0061"/>
    <x v="57"/>
    <s v="2025-06-03"/>
    <s v="2025-06-07"/>
    <x v="4"/>
    <x v="3"/>
    <x v="2"/>
    <x v="1"/>
    <x v="0"/>
    <n v="2500"/>
    <n v="4"/>
    <n v="10000"/>
    <s v="Occupied"/>
    <x v="1"/>
    <s v="No"/>
    <x v="11"/>
  </r>
  <r>
    <s v="B0062"/>
    <x v="58"/>
    <s v="2025-08-09"/>
    <s v="2025-08-14"/>
    <x v="4"/>
    <x v="3"/>
    <x v="2"/>
    <x v="1"/>
    <x v="0"/>
    <n v="9000"/>
    <n v="5"/>
    <n v="45000"/>
    <s v="Occupied"/>
    <x v="1"/>
    <s v="No"/>
    <x v="6"/>
  </r>
  <r>
    <s v="B0063"/>
    <x v="59"/>
    <s v="2025-05-27"/>
    <s v="2025-05-30"/>
    <x v="4"/>
    <x v="4"/>
    <x v="2"/>
    <x v="2"/>
    <x v="0"/>
    <n v="3500"/>
    <n v="3"/>
    <n v="10500"/>
    <s v="Occupied"/>
    <x v="2"/>
    <s v="No"/>
    <x v="11"/>
  </r>
  <r>
    <s v="B0064"/>
    <x v="60"/>
    <s v="2025-08-30"/>
    <s v="2025-09-05"/>
    <x v="0"/>
    <x v="0"/>
    <x v="0"/>
    <x v="1"/>
    <x v="0"/>
    <n v="7000"/>
    <n v="6"/>
    <n v="42000"/>
    <s v="Occupied"/>
    <x v="2"/>
    <s v="No"/>
    <x v="5"/>
  </r>
  <r>
    <s v="B0065"/>
    <x v="61"/>
    <s v="2025-05-14"/>
    <s v="2025-05-21"/>
    <x v="0"/>
    <x v="2"/>
    <x v="0"/>
    <x v="1"/>
    <x v="1"/>
    <n v="2500"/>
    <n v="7"/>
    <n v="17500"/>
    <s v="Occupied"/>
    <x v="0"/>
    <s v="No"/>
    <x v="11"/>
  </r>
  <r>
    <s v="B0066"/>
    <x v="47"/>
    <s v="2025-09-19"/>
    <s v="2025-09-22"/>
    <x v="3"/>
    <x v="3"/>
    <x v="2"/>
    <x v="1"/>
    <x v="0"/>
    <n v="4500"/>
    <n v="3"/>
    <n v="13500"/>
    <s v="Occupied"/>
    <x v="1"/>
    <s v="No"/>
    <x v="5"/>
  </r>
  <r>
    <s v="B0067"/>
    <x v="62"/>
    <s v="2025-06-28"/>
    <s v="2025-07-04"/>
    <x v="0"/>
    <x v="0"/>
    <x v="0"/>
    <x v="0"/>
    <x v="1"/>
    <n v="5500"/>
    <n v="6"/>
    <n v="33000"/>
    <s v="Occupied"/>
    <x v="1"/>
    <s v="No"/>
    <x v="2"/>
  </r>
  <r>
    <s v="B0068"/>
    <x v="63"/>
    <s v="2025-03-17"/>
    <s v="2025-03-24"/>
    <x v="1"/>
    <x v="0"/>
    <x v="2"/>
    <x v="0"/>
    <x v="2"/>
    <n v="4500"/>
    <n v="7"/>
    <n v="31500"/>
    <s v="Cancelled"/>
    <x v="4"/>
    <s v="Yes"/>
    <x v="3"/>
  </r>
  <r>
    <s v="B0069"/>
    <x v="64"/>
    <s v="2025-12-17"/>
    <s v="2025-12-18"/>
    <x v="4"/>
    <x v="2"/>
    <x v="1"/>
    <x v="2"/>
    <x v="3"/>
    <n v="7000"/>
    <n v="1"/>
    <n v="7000"/>
    <s v="Occupied"/>
    <x v="0"/>
    <s v="No"/>
    <x v="4"/>
  </r>
  <r>
    <s v="B0070"/>
    <x v="65"/>
    <s v="2025-12-21"/>
    <s v="2025-12-28"/>
    <x v="0"/>
    <x v="1"/>
    <x v="0"/>
    <x v="2"/>
    <x v="2"/>
    <n v="5500"/>
    <n v="7"/>
    <n v="38500"/>
    <s v="Occupied"/>
    <x v="2"/>
    <s v="No"/>
    <x v="0"/>
  </r>
  <r>
    <s v="B0071"/>
    <x v="47"/>
    <s v="2025-09-10"/>
    <s v="2025-09-17"/>
    <x v="0"/>
    <x v="0"/>
    <x v="2"/>
    <x v="2"/>
    <x v="1"/>
    <n v="9000"/>
    <n v="7"/>
    <n v="63000"/>
    <s v="Occupied"/>
    <x v="2"/>
    <s v="No"/>
    <x v="5"/>
  </r>
  <r>
    <s v="B0072"/>
    <x v="66"/>
    <s v="2025-09-14"/>
    <s v="2025-09-19"/>
    <x v="4"/>
    <x v="4"/>
    <x v="1"/>
    <x v="2"/>
    <x v="1"/>
    <n v="9000"/>
    <n v="5"/>
    <n v="45000"/>
    <s v="Occupied"/>
    <x v="0"/>
    <s v="No"/>
    <x v="5"/>
  </r>
  <r>
    <s v="B0073"/>
    <x v="37"/>
    <s v="2025-07-27"/>
    <s v="2025-07-30"/>
    <x v="2"/>
    <x v="1"/>
    <x v="1"/>
    <x v="0"/>
    <x v="1"/>
    <n v="4500"/>
    <n v="3"/>
    <n v="13500"/>
    <s v="Occupied"/>
    <x v="1"/>
    <s v="No"/>
    <x v="6"/>
  </r>
  <r>
    <s v="B0074"/>
    <x v="67"/>
    <s v="2025-02-21"/>
    <s v="2025-02-27"/>
    <x v="4"/>
    <x v="2"/>
    <x v="2"/>
    <x v="1"/>
    <x v="0"/>
    <n v="5500"/>
    <n v="6"/>
    <n v="33000"/>
    <s v="Occupied"/>
    <x v="0"/>
    <s v="No"/>
    <x v="3"/>
  </r>
  <r>
    <s v="B0075"/>
    <x v="68"/>
    <s v="2025-06-08"/>
    <s v="2025-06-12"/>
    <x v="1"/>
    <x v="4"/>
    <x v="2"/>
    <x v="0"/>
    <x v="3"/>
    <n v="9000"/>
    <n v="4"/>
    <n v="36000"/>
    <s v="Occupied"/>
    <x v="1"/>
    <s v="No"/>
    <x v="11"/>
  </r>
  <r>
    <s v="B0076"/>
    <x v="69"/>
    <s v="2025-08-30"/>
    <s v="2025-09-04"/>
    <x v="2"/>
    <x v="4"/>
    <x v="2"/>
    <x v="1"/>
    <x v="0"/>
    <n v="4500"/>
    <n v="5"/>
    <n v="22500"/>
    <s v="Occupied"/>
    <x v="2"/>
    <s v="No"/>
    <x v="5"/>
  </r>
  <r>
    <s v="B0077"/>
    <x v="70"/>
    <s v="2025-04-20"/>
    <s v="2025-04-21"/>
    <x v="0"/>
    <x v="3"/>
    <x v="1"/>
    <x v="0"/>
    <x v="2"/>
    <n v="9000"/>
    <n v="1"/>
    <n v="9000"/>
    <s v="Occupied"/>
    <x v="1"/>
    <s v="No"/>
    <x v="9"/>
  </r>
  <r>
    <s v="B0078"/>
    <x v="34"/>
    <s v="2025-06-15"/>
    <s v="2025-06-20"/>
    <x v="0"/>
    <x v="4"/>
    <x v="1"/>
    <x v="2"/>
    <x v="1"/>
    <n v="7000"/>
    <n v="5"/>
    <n v="35000"/>
    <s v="Occupied"/>
    <x v="0"/>
    <s v="No"/>
    <x v="11"/>
  </r>
  <r>
    <s v="B0079"/>
    <x v="71"/>
    <s v="2025-06-05"/>
    <s v="2025-06-11"/>
    <x v="3"/>
    <x v="1"/>
    <x v="2"/>
    <x v="0"/>
    <x v="1"/>
    <n v="7000"/>
    <n v="6"/>
    <n v="42000"/>
    <s v="Occupied"/>
    <x v="0"/>
    <s v="No"/>
    <x v="2"/>
  </r>
  <r>
    <s v="B0080"/>
    <x v="72"/>
    <s v="2025-12-21"/>
    <s v="2025-12-28"/>
    <x v="1"/>
    <x v="4"/>
    <x v="2"/>
    <x v="2"/>
    <x v="2"/>
    <n v="5500"/>
    <n v="7"/>
    <n v="38500"/>
    <s v="Occupied"/>
    <x v="0"/>
    <s v="No"/>
    <x v="0"/>
  </r>
  <r>
    <s v="B0081"/>
    <x v="3"/>
    <s v="2025-06-30"/>
    <s v="2025-07-01"/>
    <x v="3"/>
    <x v="0"/>
    <x v="2"/>
    <x v="2"/>
    <x v="0"/>
    <n v="4500"/>
    <n v="1"/>
    <n v="4500"/>
    <s v="Cancelled"/>
    <x v="2"/>
    <s v="Yes"/>
    <x v="2"/>
  </r>
  <r>
    <s v="B0082"/>
    <x v="43"/>
    <s v="2025-11-13"/>
    <s v="2025-11-19"/>
    <x v="2"/>
    <x v="0"/>
    <x v="1"/>
    <x v="1"/>
    <x v="2"/>
    <n v="2500"/>
    <n v="6"/>
    <n v="15000"/>
    <s v="Occupied"/>
    <x v="1"/>
    <s v="No"/>
    <x v="1"/>
  </r>
  <r>
    <s v="B0083"/>
    <x v="73"/>
    <s v="2025-11-27"/>
    <s v="2025-12-04"/>
    <x v="4"/>
    <x v="2"/>
    <x v="2"/>
    <x v="2"/>
    <x v="2"/>
    <n v="7000"/>
    <n v="7"/>
    <n v="49000"/>
    <s v="Occupied"/>
    <x v="1"/>
    <s v="No"/>
    <x v="0"/>
  </r>
  <r>
    <s v="B0084"/>
    <x v="74"/>
    <s v="2025-06-25"/>
    <s v="2025-06-30"/>
    <x v="3"/>
    <x v="3"/>
    <x v="0"/>
    <x v="1"/>
    <x v="3"/>
    <n v="2500"/>
    <n v="5"/>
    <n v="12500"/>
    <s v="Occupied"/>
    <x v="1"/>
    <s v="No"/>
    <x v="2"/>
  </r>
  <r>
    <s v="B0085"/>
    <x v="64"/>
    <s v="2025-12-08"/>
    <s v="2025-12-10"/>
    <x v="0"/>
    <x v="0"/>
    <x v="2"/>
    <x v="2"/>
    <x v="2"/>
    <n v="3500"/>
    <n v="2"/>
    <n v="7000"/>
    <s v="Occupied"/>
    <x v="0"/>
    <s v="No"/>
    <x v="4"/>
  </r>
  <r>
    <s v="B0086"/>
    <x v="75"/>
    <s v="2025-06-01"/>
    <s v="2025-06-03"/>
    <x v="4"/>
    <x v="0"/>
    <x v="0"/>
    <x v="1"/>
    <x v="3"/>
    <n v="4500"/>
    <n v="2"/>
    <n v="9000"/>
    <s v="Occupied"/>
    <x v="1"/>
    <s v="No"/>
    <x v="11"/>
  </r>
  <r>
    <s v="B0087"/>
    <x v="76"/>
    <s v="2025-12-06"/>
    <s v="2025-12-12"/>
    <x v="0"/>
    <x v="3"/>
    <x v="2"/>
    <x v="1"/>
    <x v="0"/>
    <n v="3500"/>
    <n v="6"/>
    <n v="21000"/>
    <s v="Occupied"/>
    <x v="1"/>
    <s v="No"/>
    <x v="0"/>
  </r>
  <r>
    <s v="B0088"/>
    <x v="77"/>
    <s v="2025-02-06"/>
    <s v="2025-02-13"/>
    <x v="2"/>
    <x v="2"/>
    <x v="1"/>
    <x v="2"/>
    <x v="3"/>
    <n v="4500"/>
    <n v="7"/>
    <n v="31500"/>
    <s v="Occupied"/>
    <x v="1"/>
    <s v="No"/>
    <x v="8"/>
  </r>
  <r>
    <s v="B0089"/>
    <x v="78"/>
    <s v="2026-01-07"/>
    <s v="2026-01-10"/>
    <x v="3"/>
    <x v="1"/>
    <x v="1"/>
    <x v="2"/>
    <x v="3"/>
    <n v="7000"/>
    <n v="3"/>
    <n v="21000"/>
    <s v="Occupied"/>
    <x v="2"/>
    <s v="No"/>
    <x v="4"/>
  </r>
  <r>
    <s v="B0090"/>
    <x v="79"/>
    <s v="2025-11-15"/>
    <s v="2025-11-16"/>
    <x v="1"/>
    <x v="1"/>
    <x v="1"/>
    <x v="0"/>
    <x v="3"/>
    <n v="2500"/>
    <n v="1"/>
    <n v="2500"/>
    <s v="Occupied"/>
    <x v="1"/>
    <s v="No"/>
    <x v="0"/>
  </r>
  <r>
    <s v="B0091"/>
    <x v="43"/>
    <s v="2025-10-25"/>
    <s v="2025-11-01"/>
    <x v="4"/>
    <x v="4"/>
    <x v="1"/>
    <x v="0"/>
    <x v="2"/>
    <n v="3500"/>
    <n v="7"/>
    <n v="24500"/>
    <s v="Occupied"/>
    <x v="1"/>
    <s v="No"/>
    <x v="1"/>
  </r>
  <r>
    <s v="B0092"/>
    <x v="65"/>
    <s v="2025-12-19"/>
    <s v="2025-12-23"/>
    <x v="2"/>
    <x v="4"/>
    <x v="0"/>
    <x v="1"/>
    <x v="1"/>
    <n v="2500"/>
    <n v="4"/>
    <n v="10000"/>
    <s v="Occupied"/>
    <x v="2"/>
    <s v="No"/>
    <x v="0"/>
  </r>
  <r>
    <s v="B0093"/>
    <x v="80"/>
    <s v="2025-07-02"/>
    <s v="2025-07-08"/>
    <x v="1"/>
    <x v="0"/>
    <x v="2"/>
    <x v="1"/>
    <x v="3"/>
    <n v="5500"/>
    <n v="6"/>
    <n v="33000"/>
    <s v="Occupied"/>
    <x v="2"/>
    <s v="No"/>
    <x v="2"/>
  </r>
  <r>
    <s v="B0094"/>
    <x v="81"/>
    <s v="2025-05-21"/>
    <s v="2025-05-22"/>
    <x v="1"/>
    <x v="2"/>
    <x v="2"/>
    <x v="1"/>
    <x v="1"/>
    <n v="5500"/>
    <n v="1"/>
    <n v="5500"/>
    <s v="Cancelled"/>
    <x v="4"/>
    <s v="Yes"/>
    <x v="11"/>
  </r>
  <r>
    <s v="B0095"/>
    <x v="82"/>
    <s v="2025-10-05"/>
    <s v="2025-10-10"/>
    <x v="0"/>
    <x v="4"/>
    <x v="0"/>
    <x v="1"/>
    <x v="3"/>
    <n v="5500"/>
    <n v="5"/>
    <n v="27500"/>
    <s v="Occupied"/>
    <x v="0"/>
    <s v="No"/>
    <x v="10"/>
  </r>
  <r>
    <s v="B0096"/>
    <x v="19"/>
    <s v="2025-09-11"/>
    <s v="2025-09-17"/>
    <x v="1"/>
    <x v="3"/>
    <x v="0"/>
    <x v="1"/>
    <x v="3"/>
    <n v="5500"/>
    <n v="6"/>
    <n v="33000"/>
    <s v="Occupied"/>
    <x v="1"/>
    <s v="No"/>
    <x v="5"/>
  </r>
  <r>
    <s v="B0097"/>
    <x v="83"/>
    <s v="2025-10-11"/>
    <s v="2025-10-16"/>
    <x v="4"/>
    <x v="0"/>
    <x v="0"/>
    <x v="1"/>
    <x v="2"/>
    <n v="5500"/>
    <n v="5"/>
    <n v="27500"/>
    <s v="Occupied"/>
    <x v="0"/>
    <s v="No"/>
    <x v="1"/>
  </r>
  <r>
    <s v="B0098"/>
    <x v="75"/>
    <s v="2025-06-16"/>
    <s v="2025-06-22"/>
    <x v="4"/>
    <x v="3"/>
    <x v="2"/>
    <x v="0"/>
    <x v="1"/>
    <n v="4500"/>
    <n v="6"/>
    <n v="27000"/>
    <s v="Occupied"/>
    <x v="2"/>
    <s v="No"/>
    <x v="11"/>
  </r>
  <r>
    <s v="B0099"/>
    <x v="84"/>
    <s v="2025-07-23"/>
    <s v="2025-07-28"/>
    <x v="3"/>
    <x v="4"/>
    <x v="2"/>
    <x v="2"/>
    <x v="3"/>
    <n v="7000"/>
    <n v="5"/>
    <n v="35000"/>
    <s v="Occupied"/>
    <x v="0"/>
    <s v="No"/>
    <x v="6"/>
  </r>
  <r>
    <s v="B0100"/>
    <x v="14"/>
    <s v="2025-01-12"/>
    <s v="2025-01-18"/>
    <x v="4"/>
    <x v="3"/>
    <x v="2"/>
    <x v="0"/>
    <x v="2"/>
    <n v="4500"/>
    <n v="6"/>
    <n v="27000"/>
    <s v="Occupied"/>
    <x v="1"/>
    <s v="No"/>
    <x v="8"/>
  </r>
  <r>
    <s v="B0101"/>
    <x v="4"/>
    <s v="2025-07-07"/>
    <s v="2025-07-12"/>
    <x v="0"/>
    <x v="3"/>
    <x v="0"/>
    <x v="2"/>
    <x v="1"/>
    <n v="7000"/>
    <n v="5"/>
    <n v="35000"/>
    <s v="Occupied"/>
    <x v="2"/>
    <s v="No"/>
    <x v="2"/>
  </r>
  <r>
    <s v="B0102"/>
    <x v="85"/>
    <s v="2025-08-01"/>
    <s v="2025-08-04"/>
    <x v="4"/>
    <x v="3"/>
    <x v="2"/>
    <x v="1"/>
    <x v="1"/>
    <n v="9000"/>
    <n v="3"/>
    <n v="27000"/>
    <s v="Occupied"/>
    <x v="2"/>
    <s v="No"/>
    <x v="6"/>
  </r>
  <r>
    <s v="B0103"/>
    <x v="27"/>
    <s v="2025-10-04"/>
    <s v="2025-10-07"/>
    <x v="3"/>
    <x v="1"/>
    <x v="2"/>
    <x v="1"/>
    <x v="1"/>
    <n v="2500"/>
    <n v="3"/>
    <n v="7500"/>
    <s v="Cancelled"/>
    <x v="2"/>
    <s v="Yes"/>
    <x v="10"/>
  </r>
  <r>
    <s v="B0104"/>
    <x v="86"/>
    <s v="2025-08-26"/>
    <s v="2025-09-01"/>
    <x v="2"/>
    <x v="1"/>
    <x v="0"/>
    <x v="2"/>
    <x v="0"/>
    <n v="3500"/>
    <n v="6"/>
    <n v="21000"/>
    <s v="Occupied"/>
    <x v="2"/>
    <s v="No"/>
    <x v="6"/>
  </r>
  <r>
    <s v="B0105"/>
    <x v="80"/>
    <s v="2025-07-16"/>
    <s v="2025-07-22"/>
    <x v="4"/>
    <x v="1"/>
    <x v="1"/>
    <x v="0"/>
    <x v="0"/>
    <n v="7000"/>
    <n v="6"/>
    <n v="42000"/>
    <s v="Occupied"/>
    <x v="2"/>
    <s v="No"/>
    <x v="2"/>
  </r>
  <r>
    <s v="B0106"/>
    <x v="87"/>
    <s v="2025-05-22"/>
    <s v="2025-05-28"/>
    <x v="4"/>
    <x v="0"/>
    <x v="0"/>
    <x v="0"/>
    <x v="0"/>
    <n v="4500"/>
    <n v="6"/>
    <n v="27000"/>
    <s v="Cancelled"/>
    <x v="4"/>
    <s v="Yes"/>
    <x v="11"/>
  </r>
  <r>
    <s v="B0107"/>
    <x v="88"/>
    <s v="2025-08-22"/>
    <s v="2025-08-28"/>
    <x v="2"/>
    <x v="0"/>
    <x v="2"/>
    <x v="2"/>
    <x v="3"/>
    <n v="4500"/>
    <n v="6"/>
    <n v="27000"/>
    <s v="Cancelled"/>
    <x v="4"/>
    <s v="Yes"/>
    <x v="5"/>
  </r>
  <r>
    <s v="B0108"/>
    <x v="36"/>
    <s v="2025-08-14"/>
    <s v="2025-08-16"/>
    <x v="0"/>
    <x v="3"/>
    <x v="1"/>
    <x v="1"/>
    <x v="2"/>
    <n v="7000"/>
    <n v="2"/>
    <n v="14000"/>
    <s v="Occupied"/>
    <x v="1"/>
    <s v="No"/>
    <x v="5"/>
  </r>
  <r>
    <s v="B0109"/>
    <x v="89"/>
    <s v="2025-12-06"/>
    <s v="2025-12-08"/>
    <x v="0"/>
    <x v="2"/>
    <x v="0"/>
    <x v="2"/>
    <x v="2"/>
    <n v="5500"/>
    <n v="2"/>
    <n v="11000"/>
    <s v="Cancelled"/>
    <x v="3"/>
    <s v="Yes"/>
    <x v="0"/>
  </r>
  <r>
    <s v="B0110"/>
    <x v="90"/>
    <s v="2025-06-02"/>
    <s v="2025-06-03"/>
    <x v="3"/>
    <x v="2"/>
    <x v="2"/>
    <x v="0"/>
    <x v="3"/>
    <n v="5500"/>
    <n v="1"/>
    <n v="5500"/>
    <s v="Cancelled"/>
    <x v="3"/>
    <s v="Yes"/>
    <x v="11"/>
  </r>
  <r>
    <s v="B0111"/>
    <x v="0"/>
    <s v="2025-12-08"/>
    <s v="2025-12-14"/>
    <x v="0"/>
    <x v="2"/>
    <x v="2"/>
    <x v="1"/>
    <x v="1"/>
    <n v="4500"/>
    <n v="6"/>
    <n v="27000"/>
    <s v="Occupied"/>
    <x v="2"/>
    <s v="No"/>
    <x v="0"/>
  </r>
  <r>
    <s v="B0112"/>
    <x v="39"/>
    <s v="2025-08-03"/>
    <s v="2025-08-06"/>
    <x v="2"/>
    <x v="0"/>
    <x v="0"/>
    <x v="2"/>
    <x v="3"/>
    <n v="7000"/>
    <n v="3"/>
    <n v="21000"/>
    <s v="Occupied"/>
    <x v="1"/>
    <s v="No"/>
    <x v="6"/>
  </r>
  <r>
    <s v="B0113"/>
    <x v="91"/>
    <s v="2025-01-24"/>
    <s v="2025-01-31"/>
    <x v="1"/>
    <x v="2"/>
    <x v="2"/>
    <x v="1"/>
    <x v="3"/>
    <n v="9000"/>
    <n v="7"/>
    <n v="63000"/>
    <s v="Occupied"/>
    <x v="0"/>
    <s v="No"/>
    <x v="8"/>
  </r>
  <r>
    <s v="B0114"/>
    <x v="92"/>
    <s v="2025-05-14"/>
    <s v="2025-05-16"/>
    <x v="0"/>
    <x v="0"/>
    <x v="0"/>
    <x v="0"/>
    <x v="0"/>
    <n v="7000"/>
    <n v="2"/>
    <n v="14000"/>
    <s v="Occupied"/>
    <x v="1"/>
    <s v="No"/>
    <x v="9"/>
  </r>
  <r>
    <s v="B0115"/>
    <x v="93"/>
    <s v="2025-07-04"/>
    <s v="2025-07-08"/>
    <x v="0"/>
    <x v="0"/>
    <x v="2"/>
    <x v="2"/>
    <x v="2"/>
    <n v="2500"/>
    <n v="4"/>
    <n v="10000"/>
    <s v="Occupied"/>
    <x v="1"/>
    <s v="No"/>
    <x v="2"/>
  </r>
  <r>
    <s v="B0116"/>
    <x v="94"/>
    <s v="2025-04-07"/>
    <s v="2025-04-09"/>
    <x v="1"/>
    <x v="1"/>
    <x v="2"/>
    <x v="1"/>
    <x v="3"/>
    <n v="7000"/>
    <n v="2"/>
    <n v="14000"/>
    <s v="Cancelled"/>
    <x v="0"/>
    <s v="Yes"/>
    <x v="7"/>
  </r>
  <r>
    <s v="B0117"/>
    <x v="95"/>
    <s v="2025-09-30"/>
    <s v="2025-10-03"/>
    <x v="4"/>
    <x v="0"/>
    <x v="1"/>
    <x v="1"/>
    <x v="2"/>
    <n v="9000"/>
    <n v="3"/>
    <n v="27000"/>
    <s v="Cancelled"/>
    <x v="4"/>
    <s v="Yes"/>
    <x v="10"/>
  </r>
  <r>
    <s v="B0118"/>
    <x v="96"/>
    <s v="2025-10-25"/>
    <s v="2025-10-26"/>
    <x v="3"/>
    <x v="2"/>
    <x v="2"/>
    <x v="0"/>
    <x v="3"/>
    <n v="5500"/>
    <n v="1"/>
    <n v="5500"/>
    <s v="Occupied"/>
    <x v="1"/>
    <s v="No"/>
    <x v="1"/>
  </r>
  <r>
    <s v="B0119"/>
    <x v="97"/>
    <s v="2025-11-09"/>
    <s v="2025-11-16"/>
    <x v="0"/>
    <x v="2"/>
    <x v="1"/>
    <x v="0"/>
    <x v="3"/>
    <n v="9000"/>
    <n v="7"/>
    <n v="63000"/>
    <s v="Cancelled"/>
    <x v="4"/>
    <s v="Yes"/>
    <x v="1"/>
  </r>
  <r>
    <s v="B0120"/>
    <x v="98"/>
    <s v="2025-11-17"/>
    <s v="2025-11-23"/>
    <x v="2"/>
    <x v="2"/>
    <x v="1"/>
    <x v="1"/>
    <x v="0"/>
    <n v="2500"/>
    <n v="6"/>
    <n v="15000"/>
    <s v="Occupied"/>
    <x v="2"/>
    <s v="No"/>
    <x v="0"/>
  </r>
  <r>
    <s v="B0121"/>
    <x v="99"/>
    <s v="2025-01-30"/>
    <s v="2025-02-03"/>
    <x v="0"/>
    <x v="2"/>
    <x v="2"/>
    <x v="2"/>
    <x v="2"/>
    <n v="2500"/>
    <n v="4"/>
    <n v="10000"/>
    <s v="Occupied"/>
    <x v="1"/>
    <s v="No"/>
    <x v="8"/>
  </r>
  <r>
    <s v="B0122"/>
    <x v="100"/>
    <s v="2025-11-21"/>
    <s v="2025-11-27"/>
    <x v="4"/>
    <x v="1"/>
    <x v="2"/>
    <x v="2"/>
    <x v="0"/>
    <n v="3500"/>
    <n v="6"/>
    <n v="21000"/>
    <s v="Cancelled"/>
    <x v="4"/>
    <s v="Yes"/>
    <x v="1"/>
  </r>
  <r>
    <s v="B0123"/>
    <x v="101"/>
    <s v="2026-01-01"/>
    <s v="2026-01-03"/>
    <x v="2"/>
    <x v="0"/>
    <x v="0"/>
    <x v="2"/>
    <x v="3"/>
    <n v="5500"/>
    <n v="2"/>
    <n v="11000"/>
    <s v="Occupied"/>
    <x v="0"/>
    <s v="No"/>
    <x v="4"/>
  </r>
  <r>
    <s v="B0124"/>
    <x v="102"/>
    <s v="2025-02-14"/>
    <s v="2025-02-17"/>
    <x v="3"/>
    <x v="3"/>
    <x v="0"/>
    <x v="0"/>
    <x v="0"/>
    <n v="3500"/>
    <n v="3"/>
    <n v="10500"/>
    <s v="Cancelled"/>
    <x v="2"/>
    <s v="Yes"/>
    <x v="3"/>
  </r>
  <r>
    <s v="B0125"/>
    <x v="25"/>
    <s v="2025-02-21"/>
    <s v="2025-02-24"/>
    <x v="3"/>
    <x v="1"/>
    <x v="1"/>
    <x v="0"/>
    <x v="1"/>
    <n v="3500"/>
    <n v="3"/>
    <n v="10500"/>
    <s v="Cancelled"/>
    <x v="3"/>
    <s v="Yes"/>
    <x v="8"/>
  </r>
  <r>
    <s v="B0126"/>
    <x v="103"/>
    <s v="2025-05-11"/>
    <s v="2025-05-18"/>
    <x v="3"/>
    <x v="4"/>
    <x v="1"/>
    <x v="1"/>
    <x v="3"/>
    <n v="3500"/>
    <n v="7"/>
    <n v="24500"/>
    <s v="Occupied"/>
    <x v="1"/>
    <s v="No"/>
    <x v="9"/>
  </r>
  <r>
    <s v="B0127"/>
    <x v="94"/>
    <s v="2025-04-04"/>
    <s v="2025-04-10"/>
    <x v="0"/>
    <x v="1"/>
    <x v="2"/>
    <x v="1"/>
    <x v="1"/>
    <n v="2500"/>
    <n v="6"/>
    <n v="15000"/>
    <s v="Occupied"/>
    <x v="2"/>
    <s v="No"/>
    <x v="7"/>
  </r>
  <r>
    <s v="B0128"/>
    <x v="104"/>
    <s v="2025-05-18"/>
    <s v="2025-05-20"/>
    <x v="3"/>
    <x v="2"/>
    <x v="2"/>
    <x v="2"/>
    <x v="0"/>
    <n v="9000"/>
    <n v="2"/>
    <n v="18000"/>
    <s v="Occupied"/>
    <x v="0"/>
    <s v="No"/>
    <x v="11"/>
  </r>
  <r>
    <s v="B0129"/>
    <x v="105"/>
    <s v="2025-09-06"/>
    <s v="2025-09-08"/>
    <x v="1"/>
    <x v="4"/>
    <x v="2"/>
    <x v="0"/>
    <x v="0"/>
    <n v="7000"/>
    <n v="2"/>
    <n v="14000"/>
    <s v="Occupied"/>
    <x v="1"/>
    <s v="No"/>
    <x v="5"/>
  </r>
  <r>
    <s v="B0130"/>
    <x v="102"/>
    <s v="2025-02-17"/>
    <s v="2025-02-24"/>
    <x v="4"/>
    <x v="2"/>
    <x v="1"/>
    <x v="1"/>
    <x v="3"/>
    <n v="5500"/>
    <n v="7"/>
    <n v="38500"/>
    <s v="Occupied"/>
    <x v="0"/>
    <s v="No"/>
    <x v="3"/>
  </r>
  <r>
    <s v="B0131"/>
    <x v="106"/>
    <s v="2025-11-13"/>
    <s v="2025-11-14"/>
    <x v="1"/>
    <x v="1"/>
    <x v="0"/>
    <x v="2"/>
    <x v="2"/>
    <n v="3500"/>
    <n v="1"/>
    <n v="3500"/>
    <s v="Occupied"/>
    <x v="1"/>
    <s v="No"/>
    <x v="0"/>
  </r>
  <r>
    <s v="B0132"/>
    <x v="12"/>
    <s v="2025-11-19"/>
    <s v="2025-11-22"/>
    <x v="3"/>
    <x v="0"/>
    <x v="0"/>
    <x v="0"/>
    <x v="1"/>
    <n v="5500"/>
    <n v="3"/>
    <n v="16500"/>
    <s v="Occupied"/>
    <x v="2"/>
    <s v="No"/>
    <x v="0"/>
  </r>
  <r>
    <s v="B0133"/>
    <x v="36"/>
    <s v="2025-08-24"/>
    <s v="2025-08-26"/>
    <x v="4"/>
    <x v="2"/>
    <x v="0"/>
    <x v="1"/>
    <x v="3"/>
    <n v="5500"/>
    <n v="2"/>
    <n v="11000"/>
    <s v="Occupied"/>
    <x v="2"/>
    <s v="No"/>
    <x v="5"/>
  </r>
  <r>
    <s v="B0134"/>
    <x v="107"/>
    <s v="2025-08-18"/>
    <s v="2025-08-24"/>
    <x v="4"/>
    <x v="0"/>
    <x v="1"/>
    <x v="1"/>
    <x v="0"/>
    <n v="4500"/>
    <n v="6"/>
    <n v="27000"/>
    <s v="Occupied"/>
    <x v="0"/>
    <s v="No"/>
    <x v="5"/>
  </r>
  <r>
    <s v="B0135"/>
    <x v="108"/>
    <s v="2025-08-14"/>
    <s v="2025-08-20"/>
    <x v="1"/>
    <x v="0"/>
    <x v="0"/>
    <x v="0"/>
    <x v="3"/>
    <n v="9000"/>
    <n v="6"/>
    <n v="54000"/>
    <s v="Occupied"/>
    <x v="0"/>
    <s v="No"/>
    <x v="5"/>
  </r>
  <r>
    <s v="B0136"/>
    <x v="7"/>
    <s v="2025-12-14"/>
    <s v="2025-12-18"/>
    <x v="3"/>
    <x v="4"/>
    <x v="0"/>
    <x v="2"/>
    <x v="3"/>
    <n v="4500"/>
    <n v="4"/>
    <n v="18000"/>
    <s v="Cancelled"/>
    <x v="2"/>
    <s v="Yes"/>
    <x v="4"/>
  </r>
  <r>
    <s v="B0137"/>
    <x v="109"/>
    <s v="2025-03-14"/>
    <s v="2025-03-19"/>
    <x v="0"/>
    <x v="0"/>
    <x v="2"/>
    <x v="0"/>
    <x v="3"/>
    <n v="3500"/>
    <n v="5"/>
    <n v="17500"/>
    <s v="Occupied"/>
    <x v="2"/>
    <s v="No"/>
    <x v="3"/>
  </r>
  <r>
    <s v="B0138"/>
    <x v="110"/>
    <s v="2025-03-25"/>
    <s v="2025-03-28"/>
    <x v="1"/>
    <x v="1"/>
    <x v="0"/>
    <x v="0"/>
    <x v="0"/>
    <n v="7000"/>
    <n v="3"/>
    <n v="21000"/>
    <s v="Occupied"/>
    <x v="2"/>
    <s v="No"/>
    <x v="3"/>
  </r>
  <r>
    <s v="B0139"/>
    <x v="106"/>
    <s v="2025-12-08"/>
    <s v="2025-12-14"/>
    <x v="2"/>
    <x v="4"/>
    <x v="2"/>
    <x v="2"/>
    <x v="0"/>
    <n v="9000"/>
    <n v="6"/>
    <n v="54000"/>
    <s v="Occupied"/>
    <x v="0"/>
    <s v="No"/>
    <x v="0"/>
  </r>
  <r>
    <s v="B0140"/>
    <x v="111"/>
    <s v="2025-05-01"/>
    <s v="2025-05-03"/>
    <x v="0"/>
    <x v="0"/>
    <x v="1"/>
    <x v="0"/>
    <x v="1"/>
    <n v="7000"/>
    <n v="2"/>
    <n v="14000"/>
    <s v="Occupied"/>
    <x v="0"/>
    <s v="No"/>
    <x v="9"/>
  </r>
  <r>
    <s v="B0141"/>
    <x v="112"/>
    <s v="2025-07-26"/>
    <s v="2025-07-30"/>
    <x v="2"/>
    <x v="1"/>
    <x v="0"/>
    <x v="1"/>
    <x v="0"/>
    <n v="4500"/>
    <n v="4"/>
    <n v="18000"/>
    <s v="Occupied"/>
    <x v="2"/>
    <s v="No"/>
    <x v="6"/>
  </r>
  <r>
    <s v="B0142"/>
    <x v="26"/>
    <s v="2025-03-27"/>
    <s v="2025-04-03"/>
    <x v="2"/>
    <x v="2"/>
    <x v="0"/>
    <x v="2"/>
    <x v="2"/>
    <n v="7000"/>
    <n v="7"/>
    <n v="49000"/>
    <s v="Occupied"/>
    <x v="0"/>
    <s v="No"/>
    <x v="7"/>
  </r>
  <r>
    <s v="B0143"/>
    <x v="73"/>
    <s v="2025-11-22"/>
    <s v="2025-11-26"/>
    <x v="3"/>
    <x v="4"/>
    <x v="2"/>
    <x v="1"/>
    <x v="3"/>
    <n v="4500"/>
    <n v="4"/>
    <n v="18000"/>
    <s v="Occupied"/>
    <x v="1"/>
    <s v="No"/>
    <x v="0"/>
  </r>
  <r>
    <s v="B0144"/>
    <x v="41"/>
    <s v="2026-01-05"/>
    <s v="2026-01-10"/>
    <x v="3"/>
    <x v="3"/>
    <x v="2"/>
    <x v="0"/>
    <x v="0"/>
    <n v="5500"/>
    <n v="5"/>
    <n v="27500"/>
    <s v="Occupied"/>
    <x v="2"/>
    <s v="No"/>
    <x v="4"/>
  </r>
  <r>
    <s v="B0145"/>
    <x v="113"/>
    <s v="2025-01-11"/>
    <s v="2025-01-14"/>
    <x v="2"/>
    <x v="4"/>
    <x v="1"/>
    <x v="1"/>
    <x v="2"/>
    <n v="3500"/>
    <n v="3"/>
    <n v="10500"/>
    <s v="Occupied"/>
    <x v="2"/>
    <s v="No"/>
    <x v="8"/>
  </r>
  <r>
    <s v="B0146"/>
    <x v="36"/>
    <s v="2025-08-15"/>
    <s v="2025-08-17"/>
    <x v="1"/>
    <x v="1"/>
    <x v="0"/>
    <x v="2"/>
    <x v="0"/>
    <n v="5500"/>
    <n v="2"/>
    <n v="11000"/>
    <s v="Occupied"/>
    <x v="0"/>
    <s v="No"/>
    <x v="5"/>
  </r>
  <r>
    <s v="B0147"/>
    <x v="114"/>
    <s v="2025-08-20"/>
    <s v="2025-08-26"/>
    <x v="3"/>
    <x v="4"/>
    <x v="0"/>
    <x v="2"/>
    <x v="2"/>
    <n v="2500"/>
    <n v="6"/>
    <n v="15000"/>
    <s v="Occupied"/>
    <x v="2"/>
    <s v="No"/>
    <x v="6"/>
  </r>
  <r>
    <s v="B0148"/>
    <x v="115"/>
    <s v="2026-01-20"/>
    <s v="2026-01-24"/>
    <x v="2"/>
    <x v="3"/>
    <x v="0"/>
    <x v="2"/>
    <x v="3"/>
    <n v="4500"/>
    <n v="4"/>
    <n v="18000"/>
    <s v="Occupied"/>
    <x v="0"/>
    <s v="No"/>
    <x v="4"/>
  </r>
  <r>
    <s v="B0149"/>
    <x v="116"/>
    <s v="2025-03-01"/>
    <s v="2025-03-08"/>
    <x v="4"/>
    <x v="1"/>
    <x v="1"/>
    <x v="2"/>
    <x v="3"/>
    <n v="2500"/>
    <n v="7"/>
    <n v="17500"/>
    <s v="Occupied"/>
    <x v="1"/>
    <s v="No"/>
    <x v="3"/>
  </r>
  <r>
    <s v="B0150"/>
    <x v="117"/>
    <s v="2025-07-01"/>
    <s v="2025-07-04"/>
    <x v="3"/>
    <x v="1"/>
    <x v="0"/>
    <x v="1"/>
    <x v="3"/>
    <n v="3500"/>
    <n v="3"/>
    <n v="10500"/>
    <s v="Occupied"/>
    <x v="1"/>
    <s v="No"/>
    <x v="2"/>
  </r>
  <r>
    <s v="B0151"/>
    <x v="118"/>
    <s v="2025-07-23"/>
    <s v="2025-07-30"/>
    <x v="3"/>
    <x v="3"/>
    <x v="2"/>
    <x v="1"/>
    <x v="1"/>
    <n v="9000"/>
    <n v="7"/>
    <n v="63000"/>
    <s v="Occupied"/>
    <x v="0"/>
    <s v="No"/>
    <x v="2"/>
  </r>
  <r>
    <s v="B0152"/>
    <x v="119"/>
    <s v="2025-11-10"/>
    <s v="2025-11-17"/>
    <x v="4"/>
    <x v="2"/>
    <x v="0"/>
    <x v="0"/>
    <x v="2"/>
    <n v="9000"/>
    <n v="7"/>
    <n v="63000"/>
    <s v="Occupied"/>
    <x v="1"/>
    <s v="No"/>
    <x v="0"/>
  </r>
  <r>
    <s v="B0153"/>
    <x v="120"/>
    <s v="2026-01-14"/>
    <s v="2026-01-19"/>
    <x v="2"/>
    <x v="4"/>
    <x v="1"/>
    <x v="2"/>
    <x v="0"/>
    <n v="9000"/>
    <n v="5"/>
    <n v="45000"/>
    <s v="Occupied"/>
    <x v="1"/>
    <s v="No"/>
    <x v="4"/>
  </r>
  <r>
    <s v="B0154"/>
    <x v="60"/>
    <s v="2025-09-13"/>
    <s v="2025-09-19"/>
    <x v="3"/>
    <x v="4"/>
    <x v="0"/>
    <x v="1"/>
    <x v="3"/>
    <n v="4500"/>
    <n v="6"/>
    <n v="27000"/>
    <s v="Occupied"/>
    <x v="1"/>
    <s v="No"/>
    <x v="5"/>
  </r>
  <r>
    <s v="B0155"/>
    <x v="8"/>
    <s v="2025-09-09"/>
    <s v="2025-09-10"/>
    <x v="3"/>
    <x v="0"/>
    <x v="0"/>
    <x v="0"/>
    <x v="2"/>
    <n v="2500"/>
    <n v="1"/>
    <n v="2500"/>
    <s v="Occupied"/>
    <x v="2"/>
    <s v="No"/>
    <x v="5"/>
  </r>
  <r>
    <s v="B0156"/>
    <x v="8"/>
    <s v="2025-09-13"/>
    <s v="2025-09-18"/>
    <x v="1"/>
    <x v="3"/>
    <x v="2"/>
    <x v="0"/>
    <x v="2"/>
    <n v="9000"/>
    <n v="5"/>
    <n v="45000"/>
    <s v="Cancelled"/>
    <x v="2"/>
    <s v="Yes"/>
    <x v="5"/>
  </r>
  <r>
    <s v="B0157"/>
    <x v="121"/>
    <s v="2025-09-19"/>
    <s v="2025-09-20"/>
    <x v="3"/>
    <x v="1"/>
    <x v="0"/>
    <x v="1"/>
    <x v="0"/>
    <n v="5500"/>
    <n v="1"/>
    <n v="5500"/>
    <s v="Occupied"/>
    <x v="2"/>
    <s v="No"/>
    <x v="10"/>
  </r>
  <r>
    <s v="B0158"/>
    <x v="61"/>
    <s v="2025-05-30"/>
    <s v="2025-06-03"/>
    <x v="0"/>
    <x v="4"/>
    <x v="2"/>
    <x v="2"/>
    <x v="2"/>
    <n v="5500"/>
    <n v="4"/>
    <n v="22000"/>
    <s v="Occupied"/>
    <x v="1"/>
    <s v="No"/>
    <x v="11"/>
  </r>
  <r>
    <s v="B0159"/>
    <x v="86"/>
    <s v="2025-08-23"/>
    <s v="2025-08-26"/>
    <x v="2"/>
    <x v="0"/>
    <x v="2"/>
    <x v="1"/>
    <x v="2"/>
    <n v="9000"/>
    <n v="3"/>
    <n v="27000"/>
    <s v="Occupied"/>
    <x v="1"/>
    <s v="No"/>
    <x v="6"/>
  </r>
  <r>
    <s v="B0160"/>
    <x v="122"/>
    <s v="2025-06-04"/>
    <s v="2025-06-10"/>
    <x v="2"/>
    <x v="0"/>
    <x v="0"/>
    <x v="0"/>
    <x v="1"/>
    <n v="9000"/>
    <n v="6"/>
    <n v="54000"/>
    <s v="Cancelled"/>
    <x v="3"/>
    <s v="Yes"/>
    <x v="11"/>
  </r>
  <r>
    <s v="B0161"/>
    <x v="118"/>
    <s v="2025-07-09"/>
    <s v="2025-07-15"/>
    <x v="1"/>
    <x v="0"/>
    <x v="2"/>
    <x v="0"/>
    <x v="2"/>
    <n v="9000"/>
    <n v="6"/>
    <n v="54000"/>
    <s v="Occupied"/>
    <x v="0"/>
    <s v="No"/>
    <x v="2"/>
  </r>
  <r>
    <s v="B0162"/>
    <x v="123"/>
    <s v="2025-12-22"/>
    <s v="2025-12-25"/>
    <x v="1"/>
    <x v="0"/>
    <x v="0"/>
    <x v="0"/>
    <x v="2"/>
    <n v="3500"/>
    <n v="3"/>
    <n v="10500"/>
    <s v="Occupied"/>
    <x v="1"/>
    <s v="No"/>
    <x v="0"/>
  </r>
  <r>
    <s v="B0163"/>
    <x v="124"/>
    <s v="2025-09-30"/>
    <s v="2025-10-01"/>
    <x v="2"/>
    <x v="2"/>
    <x v="1"/>
    <x v="1"/>
    <x v="1"/>
    <n v="4500"/>
    <n v="1"/>
    <n v="4500"/>
    <s v="Occupied"/>
    <x v="0"/>
    <s v="No"/>
    <x v="10"/>
  </r>
  <r>
    <s v="B0164"/>
    <x v="26"/>
    <s v="2025-03-24"/>
    <s v="2025-03-27"/>
    <x v="1"/>
    <x v="0"/>
    <x v="0"/>
    <x v="2"/>
    <x v="1"/>
    <n v="2500"/>
    <n v="3"/>
    <n v="7500"/>
    <s v="Occupied"/>
    <x v="1"/>
    <s v="No"/>
    <x v="7"/>
  </r>
  <r>
    <s v="B0165"/>
    <x v="12"/>
    <s v="2025-11-15"/>
    <s v="2025-11-17"/>
    <x v="1"/>
    <x v="3"/>
    <x v="0"/>
    <x v="2"/>
    <x v="0"/>
    <n v="3500"/>
    <n v="2"/>
    <n v="7000"/>
    <s v="Occupied"/>
    <x v="1"/>
    <s v="No"/>
    <x v="0"/>
  </r>
  <r>
    <s v="B0166"/>
    <x v="85"/>
    <s v="2025-08-11"/>
    <s v="2025-08-17"/>
    <x v="1"/>
    <x v="4"/>
    <x v="0"/>
    <x v="2"/>
    <x v="1"/>
    <n v="9000"/>
    <n v="6"/>
    <n v="54000"/>
    <s v="Occupied"/>
    <x v="2"/>
    <s v="No"/>
    <x v="6"/>
  </r>
  <r>
    <s v="B0167"/>
    <x v="125"/>
    <s v="2025-10-09"/>
    <s v="2025-10-12"/>
    <x v="2"/>
    <x v="1"/>
    <x v="2"/>
    <x v="2"/>
    <x v="3"/>
    <n v="5500"/>
    <n v="3"/>
    <n v="16500"/>
    <s v="Cancelled"/>
    <x v="3"/>
    <s v="Yes"/>
    <x v="1"/>
  </r>
  <r>
    <s v="B0168"/>
    <x v="39"/>
    <s v="2025-08-01"/>
    <s v="2025-08-06"/>
    <x v="1"/>
    <x v="3"/>
    <x v="2"/>
    <x v="1"/>
    <x v="2"/>
    <n v="5500"/>
    <n v="5"/>
    <n v="27500"/>
    <s v="Cancelled"/>
    <x v="3"/>
    <s v="Yes"/>
    <x v="6"/>
  </r>
  <r>
    <s v="B0169"/>
    <x v="126"/>
    <s v="2025-07-28"/>
    <s v="2025-07-29"/>
    <x v="2"/>
    <x v="0"/>
    <x v="1"/>
    <x v="2"/>
    <x v="2"/>
    <n v="9000"/>
    <n v="1"/>
    <n v="9000"/>
    <s v="Occupied"/>
    <x v="0"/>
    <s v="No"/>
    <x v="6"/>
  </r>
  <r>
    <s v="B0170"/>
    <x v="127"/>
    <s v="2025-09-25"/>
    <s v="2025-10-02"/>
    <x v="4"/>
    <x v="4"/>
    <x v="1"/>
    <x v="2"/>
    <x v="0"/>
    <n v="5500"/>
    <n v="7"/>
    <n v="38500"/>
    <s v="Occupied"/>
    <x v="0"/>
    <s v="No"/>
    <x v="10"/>
  </r>
  <r>
    <s v="B0171"/>
    <x v="128"/>
    <s v="2025-08-08"/>
    <s v="2025-08-11"/>
    <x v="2"/>
    <x v="3"/>
    <x v="1"/>
    <x v="2"/>
    <x v="0"/>
    <n v="3500"/>
    <n v="3"/>
    <n v="10500"/>
    <s v="Occupied"/>
    <x v="0"/>
    <s v="No"/>
    <x v="6"/>
  </r>
  <r>
    <s v="B0172"/>
    <x v="2"/>
    <s v="2025-12-10"/>
    <s v="2025-12-17"/>
    <x v="4"/>
    <x v="3"/>
    <x v="0"/>
    <x v="2"/>
    <x v="2"/>
    <n v="3500"/>
    <n v="7"/>
    <n v="24500"/>
    <s v="Occupied"/>
    <x v="2"/>
    <s v="No"/>
    <x v="0"/>
  </r>
  <r>
    <s v="B0173"/>
    <x v="46"/>
    <s v="2025-11-13"/>
    <s v="2025-11-14"/>
    <x v="1"/>
    <x v="1"/>
    <x v="0"/>
    <x v="2"/>
    <x v="0"/>
    <n v="2500"/>
    <n v="1"/>
    <n v="2500"/>
    <s v="Occupied"/>
    <x v="0"/>
    <s v="No"/>
    <x v="0"/>
  </r>
  <r>
    <s v="B0174"/>
    <x v="129"/>
    <s v="2025-06-05"/>
    <s v="2025-06-08"/>
    <x v="1"/>
    <x v="2"/>
    <x v="1"/>
    <x v="1"/>
    <x v="2"/>
    <n v="2500"/>
    <n v="3"/>
    <n v="7500"/>
    <s v="Occupied"/>
    <x v="2"/>
    <s v="No"/>
    <x v="11"/>
  </r>
  <r>
    <s v="B0175"/>
    <x v="12"/>
    <s v="2025-11-20"/>
    <s v="2025-11-21"/>
    <x v="0"/>
    <x v="4"/>
    <x v="2"/>
    <x v="1"/>
    <x v="3"/>
    <n v="9000"/>
    <n v="1"/>
    <n v="9000"/>
    <s v="Occupied"/>
    <x v="0"/>
    <s v="No"/>
    <x v="0"/>
  </r>
  <r>
    <s v="B0176"/>
    <x v="130"/>
    <s v="2025-05-23"/>
    <s v="2025-05-27"/>
    <x v="1"/>
    <x v="4"/>
    <x v="1"/>
    <x v="0"/>
    <x v="0"/>
    <n v="3500"/>
    <n v="4"/>
    <n v="14000"/>
    <s v="Occupied"/>
    <x v="0"/>
    <s v="No"/>
    <x v="11"/>
  </r>
  <r>
    <s v="B0177"/>
    <x v="131"/>
    <s v="2025-08-16"/>
    <s v="2025-08-20"/>
    <x v="2"/>
    <x v="0"/>
    <x v="2"/>
    <x v="1"/>
    <x v="3"/>
    <n v="2500"/>
    <n v="4"/>
    <n v="10000"/>
    <s v="Occupied"/>
    <x v="2"/>
    <s v="No"/>
    <x v="6"/>
  </r>
  <r>
    <s v="B0178"/>
    <x v="130"/>
    <s v="2025-05-28"/>
    <s v="2025-06-03"/>
    <x v="2"/>
    <x v="3"/>
    <x v="1"/>
    <x v="2"/>
    <x v="3"/>
    <n v="9000"/>
    <n v="6"/>
    <n v="54000"/>
    <s v="Occupied"/>
    <x v="1"/>
    <s v="No"/>
    <x v="11"/>
  </r>
  <r>
    <s v="B0179"/>
    <x v="123"/>
    <s v="2025-12-02"/>
    <s v="2025-12-09"/>
    <x v="4"/>
    <x v="3"/>
    <x v="1"/>
    <x v="1"/>
    <x v="2"/>
    <n v="9000"/>
    <n v="7"/>
    <n v="63000"/>
    <s v="Occupied"/>
    <x v="1"/>
    <s v="No"/>
    <x v="0"/>
  </r>
  <r>
    <s v="B0180"/>
    <x v="132"/>
    <s v="2025-01-29"/>
    <s v="2025-01-31"/>
    <x v="2"/>
    <x v="4"/>
    <x v="0"/>
    <x v="2"/>
    <x v="2"/>
    <n v="2500"/>
    <n v="2"/>
    <n v="5000"/>
    <s v="Occupied"/>
    <x v="0"/>
    <s v="No"/>
    <x v="8"/>
  </r>
  <r>
    <s v="B0181"/>
    <x v="81"/>
    <s v="2025-05-12"/>
    <s v="2025-05-19"/>
    <x v="3"/>
    <x v="4"/>
    <x v="2"/>
    <x v="1"/>
    <x v="3"/>
    <n v="9000"/>
    <n v="7"/>
    <n v="63000"/>
    <s v="Occupied"/>
    <x v="2"/>
    <s v="No"/>
    <x v="11"/>
  </r>
  <r>
    <s v="B0182"/>
    <x v="133"/>
    <s v="2025-09-10"/>
    <s v="2025-09-14"/>
    <x v="2"/>
    <x v="3"/>
    <x v="2"/>
    <x v="0"/>
    <x v="2"/>
    <n v="9000"/>
    <n v="4"/>
    <n v="36000"/>
    <s v="Occupied"/>
    <x v="2"/>
    <s v="No"/>
    <x v="5"/>
  </r>
  <r>
    <s v="B0183"/>
    <x v="134"/>
    <s v="2025-08-07"/>
    <s v="2025-08-14"/>
    <x v="4"/>
    <x v="0"/>
    <x v="2"/>
    <x v="0"/>
    <x v="1"/>
    <n v="7000"/>
    <n v="7"/>
    <n v="49000"/>
    <s v="Occupied"/>
    <x v="0"/>
    <s v="No"/>
    <x v="6"/>
  </r>
  <r>
    <s v="B0184"/>
    <x v="135"/>
    <s v="2025-10-17"/>
    <s v="2025-10-20"/>
    <x v="2"/>
    <x v="4"/>
    <x v="2"/>
    <x v="0"/>
    <x v="2"/>
    <n v="2500"/>
    <n v="3"/>
    <n v="7500"/>
    <s v="Occupied"/>
    <x v="1"/>
    <s v="No"/>
    <x v="1"/>
  </r>
  <r>
    <s v="B0185"/>
    <x v="136"/>
    <s v="2025-04-19"/>
    <s v="2025-04-23"/>
    <x v="2"/>
    <x v="1"/>
    <x v="2"/>
    <x v="2"/>
    <x v="0"/>
    <n v="4500"/>
    <n v="4"/>
    <n v="18000"/>
    <s v="Occupied"/>
    <x v="1"/>
    <s v="No"/>
    <x v="7"/>
  </r>
  <r>
    <s v="B0186"/>
    <x v="137"/>
    <s v="2025-03-02"/>
    <s v="2025-03-08"/>
    <x v="0"/>
    <x v="0"/>
    <x v="1"/>
    <x v="0"/>
    <x v="2"/>
    <n v="5500"/>
    <n v="6"/>
    <n v="33000"/>
    <s v="Occupied"/>
    <x v="1"/>
    <s v="No"/>
    <x v="3"/>
  </r>
  <r>
    <s v="B0187"/>
    <x v="138"/>
    <s v="2025-01-23"/>
    <s v="2025-01-24"/>
    <x v="2"/>
    <x v="2"/>
    <x v="0"/>
    <x v="1"/>
    <x v="1"/>
    <n v="3500"/>
    <n v="1"/>
    <n v="3500"/>
    <s v="Occupied"/>
    <x v="2"/>
    <s v="No"/>
    <x v="8"/>
  </r>
  <r>
    <s v="B0188"/>
    <x v="41"/>
    <s v="2025-12-29"/>
    <s v="2026-01-01"/>
    <x v="1"/>
    <x v="3"/>
    <x v="0"/>
    <x v="2"/>
    <x v="2"/>
    <n v="4500"/>
    <n v="3"/>
    <n v="13500"/>
    <s v="Occupied"/>
    <x v="0"/>
    <s v="No"/>
    <x v="4"/>
  </r>
  <r>
    <s v="B0189"/>
    <x v="139"/>
    <s v="2025-07-01"/>
    <s v="2025-07-04"/>
    <x v="0"/>
    <x v="2"/>
    <x v="0"/>
    <x v="2"/>
    <x v="0"/>
    <n v="3500"/>
    <n v="3"/>
    <n v="10500"/>
    <s v="Cancelled"/>
    <x v="4"/>
    <s v="Yes"/>
    <x v="2"/>
  </r>
  <r>
    <s v="B0190"/>
    <x v="140"/>
    <s v="2025-06-09"/>
    <s v="2025-06-12"/>
    <x v="2"/>
    <x v="2"/>
    <x v="1"/>
    <x v="1"/>
    <x v="1"/>
    <n v="9000"/>
    <n v="3"/>
    <n v="27000"/>
    <s v="Occupied"/>
    <x v="1"/>
    <s v="No"/>
    <x v="11"/>
  </r>
  <r>
    <s v="B0191"/>
    <x v="31"/>
    <s v="2025-02-22"/>
    <s v="2025-02-24"/>
    <x v="2"/>
    <x v="4"/>
    <x v="0"/>
    <x v="1"/>
    <x v="3"/>
    <n v="9000"/>
    <n v="2"/>
    <n v="18000"/>
    <s v="Occupied"/>
    <x v="0"/>
    <s v="No"/>
    <x v="3"/>
  </r>
  <r>
    <s v="B0192"/>
    <x v="141"/>
    <s v="2025-07-01"/>
    <s v="2025-07-03"/>
    <x v="0"/>
    <x v="4"/>
    <x v="0"/>
    <x v="1"/>
    <x v="0"/>
    <n v="9000"/>
    <n v="2"/>
    <n v="18000"/>
    <s v="Occupied"/>
    <x v="1"/>
    <s v="No"/>
    <x v="2"/>
  </r>
  <r>
    <s v="B0193"/>
    <x v="142"/>
    <s v="2025-05-09"/>
    <s v="2025-05-11"/>
    <x v="2"/>
    <x v="1"/>
    <x v="0"/>
    <x v="2"/>
    <x v="2"/>
    <n v="3500"/>
    <n v="2"/>
    <n v="7000"/>
    <s v="Occupied"/>
    <x v="0"/>
    <s v="No"/>
    <x v="9"/>
  </r>
  <r>
    <s v="B0194"/>
    <x v="83"/>
    <s v="2025-10-15"/>
    <s v="2025-10-20"/>
    <x v="4"/>
    <x v="1"/>
    <x v="2"/>
    <x v="2"/>
    <x v="0"/>
    <n v="2500"/>
    <n v="5"/>
    <n v="12500"/>
    <s v="Occupied"/>
    <x v="2"/>
    <s v="No"/>
    <x v="1"/>
  </r>
  <r>
    <s v="B0195"/>
    <x v="143"/>
    <s v="2025-03-17"/>
    <s v="2025-03-23"/>
    <x v="1"/>
    <x v="4"/>
    <x v="1"/>
    <x v="0"/>
    <x v="1"/>
    <n v="2500"/>
    <n v="6"/>
    <n v="15000"/>
    <s v="Occupied"/>
    <x v="1"/>
    <s v="No"/>
    <x v="7"/>
  </r>
  <r>
    <s v="B0196"/>
    <x v="144"/>
    <s v="2025-03-22"/>
    <s v="2025-03-27"/>
    <x v="0"/>
    <x v="4"/>
    <x v="1"/>
    <x v="1"/>
    <x v="3"/>
    <n v="2500"/>
    <n v="5"/>
    <n v="12500"/>
    <s v="Occupied"/>
    <x v="1"/>
    <s v="No"/>
    <x v="7"/>
  </r>
  <r>
    <s v="B0197"/>
    <x v="115"/>
    <s v="2026-01-07"/>
    <s v="2026-01-10"/>
    <x v="2"/>
    <x v="3"/>
    <x v="0"/>
    <x v="0"/>
    <x v="3"/>
    <n v="7000"/>
    <n v="3"/>
    <n v="21000"/>
    <s v="Cancelled"/>
    <x v="4"/>
    <s v="Yes"/>
    <x v="4"/>
  </r>
  <r>
    <s v="B0198"/>
    <x v="143"/>
    <s v="2025-03-27"/>
    <s v="2025-03-30"/>
    <x v="0"/>
    <x v="1"/>
    <x v="0"/>
    <x v="1"/>
    <x v="1"/>
    <n v="7000"/>
    <n v="3"/>
    <n v="21000"/>
    <s v="Occupied"/>
    <x v="1"/>
    <s v="No"/>
    <x v="7"/>
  </r>
  <r>
    <s v="B0199"/>
    <x v="40"/>
    <s v="2025-12-24"/>
    <s v="2025-12-30"/>
    <x v="3"/>
    <x v="0"/>
    <x v="1"/>
    <x v="1"/>
    <x v="3"/>
    <n v="7000"/>
    <n v="6"/>
    <n v="42000"/>
    <s v="Occupied"/>
    <x v="1"/>
    <s v="No"/>
    <x v="4"/>
  </r>
  <r>
    <s v="B0200"/>
    <x v="145"/>
    <s v="2025-12-07"/>
    <s v="2025-12-14"/>
    <x v="3"/>
    <x v="2"/>
    <x v="0"/>
    <x v="0"/>
    <x v="3"/>
    <n v="7000"/>
    <n v="7"/>
    <n v="49000"/>
    <s v="Occupied"/>
    <x v="1"/>
    <s v="No"/>
    <x v="0"/>
  </r>
  <r>
    <s v="B0201"/>
    <x v="146"/>
    <s v="2025-12-05"/>
    <s v="2025-12-09"/>
    <x v="4"/>
    <x v="4"/>
    <x v="2"/>
    <x v="1"/>
    <x v="0"/>
    <n v="3500"/>
    <n v="4"/>
    <n v="14000"/>
    <s v="Occupied"/>
    <x v="1"/>
    <s v="No"/>
    <x v="0"/>
  </r>
  <r>
    <s v="B0202"/>
    <x v="147"/>
    <s v="2025-04-06"/>
    <s v="2025-04-10"/>
    <x v="1"/>
    <x v="3"/>
    <x v="2"/>
    <x v="0"/>
    <x v="3"/>
    <n v="5500"/>
    <n v="4"/>
    <n v="22000"/>
    <s v="Occupied"/>
    <x v="2"/>
    <s v="No"/>
    <x v="7"/>
  </r>
  <r>
    <s v="B0203"/>
    <x v="4"/>
    <s v="2025-07-09"/>
    <s v="2025-07-11"/>
    <x v="2"/>
    <x v="3"/>
    <x v="2"/>
    <x v="1"/>
    <x v="3"/>
    <n v="4500"/>
    <n v="2"/>
    <n v="9000"/>
    <s v="Occupied"/>
    <x v="0"/>
    <s v="No"/>
    <x v="2"/>
  </r>
  <r>
    <s v="B0204"/>
    <x v="148"/>
    <s v="2025-08-27"/>
    <s v="2025-08-29"/>
    <x v="1"/>
    <x v="2"/>
    <x v="1"/>
    <x v="1"/>
    <x v="3"/>
    <n v="2500"/>
    <n v="2"/>
    <n v="5000"/>
    <s v="Occupied"/>
    <x v="2"/>
    <s v="No"/>
    <x v="5"/>
  </r>
  <r>
    <s v="B0205"/>
    <x v="43"/>
    <s v="2025-11-16"/>
    <s v="2025-11-19"/>
    <x v="1"/>
    <x v="2"/>
    <x v="2"/>
    <x v="2"/>
    <x v="2"/>
    <n v="3500"/>
    <n v="3"/>
    <n v="10500"/>
    <s v="Occupied"/>
    <x v="2"/>
    <s v="No"/>
    <x v="1"/>
  </r>
  <r>
    <s v="B0206"/>
    <x v="149"/>
    <s v="2025-01-15"/>
    <s v="2025-01-19"/>
    <x v="0"/>
    <x v="1"/>
    <x v="2"/>
    <x v="1"/>
    <x v="0"/>
    <n v="7000"/>
    <n v="4"/>
    <n v="28000"/>
    <s v="Occupied"/>
    <x v="0"/>
    <s v="No"/>
    <x v="8"/>
  </r>
  <r>
    <s v="B0207"/>
    <x v="150"/>
    <s v="2025-06-10"/>
    <s v="2025-06-15"/>
    <x v="1"/>
    <x v="0"/>
    <x v="1"/>
    <x v="2"/>
    <x v="1"/>
    <n v="9000"/>
    <n v="5"/>
    <n v="45000"/>
    <s v="Occupied"/>
    <x v="2"/>
    <s v="No"/>
    <x v="11"/>
  </r>
  <r>
    <s v="B0208"/>
    <x v="104"/>
    <s v="2025-06-09"/>
    <s v="2025-06-12"/>
    <x v="3"/>
    <x v="1"/>
    <x v="0"/>
    <x v="1"/>
    <x v="3"/>
    <n v="5500"/>
    <n v="3"/>
    <n v="16500"/>
    <s v="Occupied"/>
    <x v="2"/>
    <s v="No"/>
    <x v="11"/>
  </r>
  <r>
    <s v="B0209"/>
    <x v="151"/>
    <s v="2025-10-21"/>
    <s v="2025-10-22"/>
    <x v="2"/>
    <x v="1"/>
    <x v="0"/>
    <x v="0"/>
    <x v="0"/>
    <n v="5500"/>
    <n v="1"/>
    <n v="5500"/>
    <s v="Occupied"/>
    <x v="1"/>
    <s v="No"/>
    <x v="1"/>
  </r>
  <r>
    <s v="B0210"/>
    <x v="152"/>
    <s v="2025-03-11"/>
    <s v="2025-03-15"/>
    <x v="1"/>
    <x v="4"/>
    <x v="1"/>
    <x v="1"/>
    <x v="2"/>
    <n v="4500"/>
    <n v="4"/>
    <n v="18000"/>
    <s v="Occupied"/>
    <x v="2"/>
    <s v="No"/>
    <x v="7"/>
  </r>
  <r>
    <s v="B0211"/>
    <x v="121"/>
    <s v="2025-09-16"/>
    <s v="2025-09-17"/>
    <x v="4"/>
    <x v="1"/>
    <x v="2"/>
    <x v="1"/>
    <x v="1"/>
    <n v="2500"/>
    <n v="1"/>
    <n v="2500"/>
    <s v="Occupied"/>
    <x v="2"/>
    <s v="No"/>
    <x v="10"/>
  </r>
  <r>
    <s v="B0212"/>
    <x v="45"/>
    <s v="2025-07-17"/>
    <s v="2025-07-22"/>
    <x v="2"/>
    <x v="1"/>
    <x v="2"/>
    <x v="0"/>
    <x v="2"/>
    <n v="4500"/>
    <n v="5"/>
    <n v="22500"/>
    <s v="Occupied"/>
    <x v="1"/>
    <s v="No"/>
    <x v="2"/>
  </r>
  <r>
    <s v="B0213"/>
    <x v="153"/>
    <s v="2026-01-17"/>
    <s v="2026-01-20"/>
    <x v="2"/>
    <x v="0"/>
    <x v="2"/>
    <x v="0"/>
    <x v="3"/>
    <n v="5500"/>
    <n v="3"/>
    <n v="16500"/>
    <s v="Occupied"/>
    <x v="2"/>
    <s v="No"/>
    <x v="4"/>
  </r>
  <r>
    <s v="B0214"/>
    <x v="154"/>
    <s v="2026-01-09"/>
    <s v="2026-01-10"/>
    <x v="1"/>
    <x v="1"/>
    <x v="1"/>
    <x v="0"/>
    <x v="0"/>
    <n v="7000"/>
    <n v="1"/>
    <n v="7000"/>
    <s v="Occupied"/>
    <x v="1"/>
    <s v="No"/>
    <x v="4"/>
  </r>
  <r>
    <s v="B0215"/>
    <x v="155"/>
    <s v="2025-11-11"/>
    <s v="2025-11-13"/>
    <x v="4"/>
    <x v="3"/>
    <x v="0"/>
    <x v="1"/>
    <x v="0"/>
    <n v="7000"/>
    <n v="2"/>
    <n v="14000"/>
    <s v="Occupied"/>
    <x v="1"/>
    <s v="No"/>
    <x v="1"/>
  </r>
  <r>
    <s v="B0216"/>
    <x v="156"/>
    <s v="2025-11-13"/>
    <s v="2025-11-14"/>
    <x v="4"/>
    <x v="3"/>
    <x v="2"/>
    <x v="0"/>
    <x v="1"/>
    <n v="3500"/>
    <n v="1"/>
    <n v="3500"/>
    <s v="Occupied"/>
    <x v="2"/>
    <s v="No"/>
    <x v="1"/>
  </r>
  <r>
    <s v="B0217"/>
    <x v="85"/>
    <s v="2025-08-16"/>
    <s v="2025-08-23"/>
    <x v="0"/>
    <x v="1"/>
    <x v="1"/>
    <x v="0"/>
    <x v="3"/>
    <n v="7000"/>
    <n v="7"/>
    <n v="49000"/>
    <s v="Cancelled"/>
    <x v="4"/>
    <s v="Yes"/>
    <x v="6"/>
  </r>
  <r>
    <s v="B0218"/>
    <x v="32"/>
    <s v="2025-12-22"/>
    <s v="2025-12-27"/>
    <x v="4"/>
    <x v="1"/>
    <x v="2"/>
    <x v="0"/>
    <x v="3"/>
    <n v="5500"/>
    <n v="5"/>
    <n v="27500"/>
    <s v="Occupied"/>
    <x v="0"/>
    <s v="No"/>
    <x v="4"/>
  </r>
  <r>
    <s v="B0219"/>
    <x v="157"/>
    <s v="2026-01-07"/>
    <s v="2026-01-14"/>
    <x v="2"/>
    <x v="1"/>
    <x v="2"/>
    <x v="1"/>
    <x v="1"/>
    <n v="9000"/>
    <n v="7"/>
    <n v="63000"/>
    <s v="Occupied"/>
    <x v="1"/>
    <s v="No"/>
    <x v="4"/>
  </r>
  <r>
    <s v="B0220"/>
    <x v="158"/>
    <s v="2025-06-10"/>
    <s v="2025-06-13"/>
    <x v="2"/>
    <x v="3"/>
    <x v="0"/>
    <x v="0"/>
    <x v="2"/>
    <n v="3500"/>
    <n v="3"/>
    <n v="10500"/>
    <s v="Cancelled"/>
    <x v="0"/>
    <s v="Yes"/>
    <x v="11"/>
  </r>
  <r>
    <s v="B0221"/>
    <x v="159"/>
    <s v="2025-06-28"/>
    <s v="2025-07-01"/>
    <x v="2"/>
    <x v="0"/>
    <x v="0"/>
    <x v="0"/>
    <x v="2"/>
    <n v="7000"/>
    <n v="3"/>
    <n v="21000"/>
    <s v="Cancelled"/>
    <x v="0"/>
    <s v="Yes"/>
    <x v="2"/>
  </r>
  <r>
    <s v="B0222"/>
    <x v="128"/>
    <s v="2025-08-18"/>
    <s v="2025-08-21"/>
    <x v="3"/>
    <x v="4"/>
    <x v="2"/>
    <x v="0"/>
    <x v="3"/>
    <n v="3500"/>
    <n v="3"/>
    <n v="10500"/>
    <s v="Occupied"/>
    <x v="2"/>
    <s v="No"/>
    <x v="6"/>
  </r>
  <r>
    <s v="B0223"/>
    <x v="160"/>
    <s v="2025-09-10"/>
    <s v="2025-09-12"/>
    <x v="2"/>
    <x v="3"/>
    <x v="1"/>
    <x v="0"/>
    <x v="1"/>
    <n v="7000"/>
    <n v="2"/>
    <n v="14000"/>
    <s v="Occupied"/>
    <x v="1"/>
    <s v="No"/>
    <x v="10"/>
  </r>
  <r>
    <s v="B0224"/>
    <x v="161"/>
    <s v="2025-05-07"/>
    <s v="2025-05-13"/>
    <x v="3"/>
    <x v="0"/>
    <x v="2"/>
    <x v="2"/>
    <x v="2"/>
    <n v="7000"/>
    <n v="6"/>
    <n v="42000"/>
    <s v="Occupied"/>
    <x v="0"/>
    <s v="No"/>
    <x v="11"/>
  </r>
  <r>
    <s v="B0225"/>
    <x v="162"/>
    <s v="2025-03-15"/>
    <s v="2025-03-22"/>
    <x v="0"/>
    <x v="2"/>
    <x v="0"/>
    <x v="2"/>
    <x v="2"/>
    <n v="3500"/>
    <n v="7"/>
    <n v="24500"/>
    <s v="Occupied"/>
    <x v="1"/>
    <s v="No"/>
    <x v="3"/>
  </r>
  <r>
    <s v="B0226"/>
    <x v="145"/>
    <s v="2025-12-07"/>
    <s v="2025-12-14"/>
    <x v="3"/>
    <x v="0"/>
    <x v="0"/>
    <x v="0"/>
    <x v="1"/>
    <n v="4500"/>
    <n v="7"/>
    <n v="31500"/>
    <s v="Occupied"/>
    <x v="1"/>
    <s v="No"/>
    <x v="0"/>
  </r>
  <r>
    <s v="B0227"/>
    <x v="125"/>
    <s v="2025-10-25"/>
    <s v="2025-10-31"/>
    <x v="4"/>
    <x v="3"/>
    <x v="1"/>
    <x v="2"/>
    <x v="2"/>
    <n v="2500"/>
    <n v="6"/>
    <n v="15000"/>
    <s v="Cancelled"/>
    <x v="3"/>
    <s v="Yes"/>
    <x v="1"/>
  </r>
  <r>
    <s v="B0228"/>
    <x v="163"/>
    <s v="2025-05-06"/>
    <s v="2025-05-12"/>
    <x v="2"/>
    <x v="1"/>
    <x v="0"/>
    <x v="1"/>
    <x v="3"/>
    <n v="4500"/>
    <n v="6"/>
    <n v="27000"/>
    <s v="Cancelled"/>
    <x v="4"/>
    <s v="Yes"/>
    <x v="9"/>
  </r>
  <r>
    <s v="B0229"/>
    <x v="122"/>
    <s v="2025-06-10"/>
    <s v="2025-06-16"/>
    <x v="1"/>
    <x v="2"/>
    <x v="2"/>
    <x v="1"/>
    <x v="0"/>
    <n v="7000"/>
    <n v="6"/>
    <n v="42000"/>
    <s v="Occupied"/>
    <x v="0"/>
    <s v="No"/>
    <x v="11"/>
  </r>
  <r>
    <s v="B0230"/>
    <x v="164"/>
    <s v="2025-06-25"/>
    <s v="2025-07-01"/>
    <x v="0"/>
    <x v="0"/>
    <x v="0"/>
    <x v="2"/>
    <x v="3"/>
    <n v="5500"/>
    <n v="6"/>
    <n v="33000"/>
    <s v="Occupied"/>
    <x v="1"/>
    <s v="No"/>
    <x v="2"/>
  </r>
  <r>
    <s v="B0231"/>
    <x v="165"/>
    <s v="2025-11-09"/>
    <s v="2025-11-16"/>
    <x v="4"/>
    <x v="2"/>
    <x v="0"/>
    <x v="2"/>
    <x v="0"/>
    <n v="3500"/>
    <n v="7"/>
    <n v="24500"/>
    <s v="Occupied"/>
    <x v="1"/>
    <s v="No"/>
    <x v="1"/>
  </r>
  <r>
    <s v="B0232"/>
    <x v="9"/>
    <s v="2025-08-16"/>
    <s v="2025-08-17"/>
    <x v="2"/>
    <x v="3"/>
    <x v="1"/>
    <x v="2"/>
    <x v="2"/>
    <n v="3500"/>
    <n v="1"/>
    <n v="3500"/>
    <s v="Cancelled"/>
    <x v="2"/>
    <s v="Yes"/>
    <x v="6"/>
  </r>
  <r>
    <s v="B0233"/>
    <x v="87"/>
    <s v="2025-05-16"/>
    <s v="2025-05-23"/>
    <x v="1"/>
    <x v="1"/>
    <x v="1"/>
    <x v="2"/>
    <x v="3"/>
    <n v="4500"/>
    <n v="7"/>
    <n v="31500"/>
    <s v="Cancelled"/>
    <x v="0"/>
    <s v="Yes"/>
    <x v="11"/>
  </r>
  <r>
    <s v="B0234"/>
    <x v="166"/>
    <s v="2025-12-29"/>
    <s v="2025-12-30"/>
    <x v="0"/>
    <x v="2"/>
    <x v="0"/>
    <x v="0"/>
    <x v="3"/>
    <n v="9000"/>
    <n v="1"/>
    <n v="9000"/>
    <s v="Occupied"/>
    <x v="2"/>
    <s v="No"/>
    <x v="4"/>
  </r>
  <r>
    <s v="B0235"/>
    <x v="101"/>
    <s v="2025-12-24"/>
    <s v="2025-12-30"/>
    <x v="0"/>
    <x v="3"/>
    <x v="2"/>
    <x v="1"/>
    <x v="2"/>
    <n v="4500"/>
    <n v="6"/>
    <n v="27000"/>
    <s v="Occupied"/>
    <x v="0"/>
    <s v="No"/>
    <x v="4"/>
  </r>
  <r>
    <s v="B0236"/>
    <x v="73"/>
    <s v="2025-11-19"/>
    <s v="2025-11-23"/>
    <x v="1"/>
    <x v="3"/>
    <x v="1"/>
    <x v="0"/>
    <x v="0"/>
    <n v="9000"/>
    <n v="4"/>
    <n v="36000"/>
    <s v="Occupied"/>
    <x v="2"/>
    <s v="No"/>
    <x v="0"/>
  </r>
  <r>
    <s v="B0237"/>
    <x v="167"/>
    <s v="2025-10-12"/>
    <s v="2025-10-17"/>
    <x v="3"/>
    <x v="0"/>
    <x v="0"/>
    <x v="0"/>
    <x v="1"/>
    <n v="9000"/>
    <n v="5"/>
    <n v="45000"/>
    <s v="Occupied"/>
    <x v="1"/>
    <s v="No"/>
    <x v="10"/>
  </r>
  <r>
    <s v="B0238"/>
    <x v="156"/>
    <s v="2025-11-08"/>
    <s v="2025-11-10"/>
    <x v="4"/>
    <x v="0"/>
    <x v="0"/>
    <x v="1"/>
    <x v="2"/>
    <n v="3500"/>
    <n v="2"/>
    <n v="7000"/>
    <s v="Occupied"/>
    <x v="1"/>
    <s v="No"/>
    <x v="1"/>
  </r>
  <r>
    <s v="B0239"/>
    <x v="168"/>
    <s v="2025-03-17"/>
    <s v="2025-03-22"/>
    <x v="0"/>
    <x v="1"/>
    <x v="2"/>
    <x v="2"/>
    <x v="0"/>
    <n v="5500"/>
    <n v="5"/>
    <n v="27500"/>
    <s v="Occupied"/>
    <x v="2"/>
    <s v="No"/>
    <x v="3"/>
  </r>
  <r>
    <s v="B0240"/>
    <x v="169"/>
    <s v="2025-10-29"/>
    <s v="2025-11-04"/>
    <x v="2"/>
    <x v="0"/>
    <x v="0"/>
    <x v="1"/>
    <x v="0"/>
    <n v="4500"/>
    <n v="6"/>
    <n v="27000"/>
    <s v="Occupied"/>
    <x v="2"/>
    <s v="No"/>
    <x v="1"/>
  </r>
  <r>
    <s v="B0241"/>
    <x v="170"/>
    <s v="2025-02-07"/>
    <s v="2025-02-10"/>
    <x v="3"/>
    <x v="2"/>
    <x v="1"/>
    <x v="2"/>
    <x v="2"/>
    <n v="9000"/>
    <n v="3"/>
    <n v="27000"/>
    <s v="Occupied"/>
    <x v="0"/>
    <s v="No"/>
    <x v="8"/>
  </r>
  <r>
    <s v="B0242"/>
    <x v="111"/>
    <s v="2025-04-28"/>
    <s v="2025-04-30"/>
    <x v="2"/>
    <x v="2"/>
    <x v="2"/>
    <x v="2"/>
    <x v="2"/>
    <n v="9000"/>
    <n v="2"/>
    <n v="18000"/>
    <s v="Cancelled"/>
    <x v="2"/>
    <s v="Yes"/>
    <x v="9"/>
  </r>
  <r>
    <s v="B0243"/>
    <x v="171"/>
    <s v="2025-03-05"/>
    <s v="2025-03-11"/>
    <x v="3"/>
    <x v="3"/>
    <x v="0"/>
    <x v="2"/>
    <x v="1"/>
    <n v="7000"/>
    <n v="6"/>
    <n v="42000"/>
    <s v="Occupied"/>
    <x v="2"/>
    <s v="No"/>
    <x v="3"/>
  </r>
  <r>
    <s v="B0244"/>
    <x v="172"/>
    <s v="2025-05-22"/>
    <s v="2025-05-23"/>
    <x v="1"/>
    <x v="2"/>
    <x v="0"/>
    <x v="2"/>
    <x v="1"/>
    <n v="2500"/>
    <n v="1"/>
    <n v="2500"/>
    <s v="Cancelled"/>
    <x v="2"/>
    <s v="Yes"/>
    <x v="9"/>
  </r>
  <r>
    <s v="B0245"/>
    <x v="61"/>
    <s v="2025-05-22"/>
    <s v="2025-05-25"/>
    <x v="3"/>
    <x v="0"/>
    <x v="0"/>
    <x v="2"/>
    <x v="0"/>
    <n v="3500"/>
    <n v="3"/>
    <n v="10500"/>
    <s v="Occupied"/>
    <x v="1"/>
    <s v="No"/>
    <x v="11"/>
  </r>
  <r>
    <s v="B0246"/>
    <x v="130"/>
    <s v="2025-05-11"/>
    <s v="2025-05-12"/>
    <x v="1"/>
    <x v="0"/>
    <x v="1"/>
    <x v="0"/>
    <x v="0"/>
    <n v="2500"/>
    <n v="1"/>
    <n v="2500"/>
    <s v="Occupied"/>
    <x v="2"/>
    <s v="No"/>
    <x v="11"/>
  </r>
  <r>
    <s v="B0247"/>
    <x v="9"/>
    <s v="2025-08-09"/>
    <s v="2025-08-11"/>
    <x v="0"/>
    <x v="1"/>
    <x v="2"/>
    <x v="1"/>
    <x v="3"/>
    <n v="7000"/>
    <n v="2"/>
    <n v="14000"/>
    <s v="Occupied"/>
    <x v="0"/>
    <s v="No"/>
    <x v="6"/>
  </r>
  <r>
    <s v="B0248"/>
    <x v="43"/>
    <s v="2025-11-12"/>
    <s v="2025-11-19"/>
    <x v="2"/>
    <x v="3"/>
    <x v="0"/>
    <x v="0"/>
    <x v="1"/>
    <n v="9000"/>
    <n v="7"/>
    <n v="63000"/>
    <s v="Occupied"/>
    <x v="0"/>
    <s v="No"/>
    <x v="1"/>
  </r>
  <r>
    <s v="B0249"/>
    <x v="173"/>
    <s v="2025-08-10"/>
    <s v="2025-08-13"/>
    <x v="0"/>
    <x v="2"/>
    <x v="0"/>
    <x v="2"/>
    <x v="0"/>
    <n v="2500"/>
    <n v="3"/>
    <n v="7500"/>
    <s v="Occupied"/>
    <x v="1"/>
    <s v="No"/>
    <x v="6"/>
  </r>
  <r>
    <s v="B0250"/>
    <x v="4"/>
    <s v="2025-07-17"/>
    <s v="2025-07-23"/>
    <x v="4"/>
    <x v="2"/>
    <x v="1"/>
    <x v="2"/>
    <x v="2"/>
    <n v="5500"/>
    <n v="6"/>
    <n v="33000"/>
    <s v="Occupied"/>
    <x v="2"/>
    <s v="No"/>
    <x v="2"/>
  </r>
  <r>
    <s v="B0251"/>
    <x v="174"/>
    <s v="2025-04-30"/>
    <s v="2025-05-05"/>
    <x v="2"/>
    <x v="3"/>
    <x v="2"/>
    <x v="1"/>
    <x v="2"/>
    <n v="5500"/>
    <n v="5"/>
    <n v="27500"/>
    <s v="Occupied"/>
    <x v="0"/>
    <s v="No"/>
    <x v="9"/>
  </r>
  <r>
    <s v="B0252"/>
    <x v="175"/>
    <s v="2025-08-20"/>
    <s v="2025-08-25"/>
    <x v="0"/>
    <x v="4"/>
    <x v="0"/>
    <x v="1"/>
    <x v="2"/>
    <n v="3500"/>
    <n v="5"/>
    <n v="17500"/>
    <s v="Occupied"/>
    <x v="2"/>
    <s v="No"/>
    <x v="5"/>
  </r>
  <r>
    <s v="B0253"/>
    <x v="176"/>
    <s v="2025-07-12"/>
    <s v="2025-07-17"/>
    <x v="2"/>
    <x v="2"/>
    <x v="0"/>
    <x v="0"/>
    <x v="0"/>
    <n v="9000"/>
    <n v="5"/>
    <n v="45000"/>
    <s v="Occupied"/>
    <x v="0"/>
    <s v="No"/>
    <x v="6"/>
  </r>
  <r>
    <s v="B0254"/>
    <x v="31"/>
    <s v="2025-02-14"/>
    <s v="2025-02-21"/>
    <x v="0"/>
    <x v="2"/>
    <x v="1"/>
    <x v="2"/>
    <x v="3"/>
    <n v="7000"/>
    <n v="7"/>
    <n v="49000"/>
    <s v="Occupied"/>
    <x v="1"/>
    <s v="No"/>
    <x v="3"/>
  </r>
  <r>
    <s v="B0255"/>
    <x v="177"/>
    <s v="2025-01-15"/>
    <s v="2025-01-17"/>
    <x v="0"/>
    <x v="1"/>
    <x v="0"/>
    <x v="1"/>
    <x v="2"/>
    <n v="9000"/>
    <n v="2"/>
    <n v="18000"/>
    <s v="Occupied"/>
    <x v="2"/>
    <s v="No"/>
    <x v="8"/>
  </r>
  <r>
    <s v="B0256"/>
    <x v="178"/>
    <s v="2025-05-21"/>
    <s v="2025-05-24"/>
    <x v="2"/>
    <x v="4"/>
    <x v="2"/>
    <x v="2"/>
    <x v="2"/>
    <n v="4500"/>
    <n v="3"/>
    <n v="13500"/>
    <s v="Occupied"/>
    <x v="1"/>
    <s v="No"/>
    <x v="11"/>
  </r>
  <r>
    <s v="B0257"/>
    <x v="47"/>
    <s v="2025-08-31"/>
    <s v="2025-09-07"/>
    <x v="0"/>
    <x v="4"/>
    <x v="2"/>
    <x v="2"/>
    <x v="0"/>
    <n v="9000"/>
    <n v="7"/>
    <n v="63000"/>
    <s v="Occupied"/>
    <x v="2"/>
    <s v="No"/>
    <x v="5"/>
  </r>
  <r>
    <s v="B0258"/>
    <x v="179"/>
    <s v="2025-11-13"/>
    <s v="2025-11-15"/>
    <x v="1"/>
    <x v="1"/>
    <x v="0"/>
    <x v="0"/>
    <x v="2"/>
    <n v="9000"/>
    <n v="2"/>
    <n v="18000"/>
    <s v="Occupied"/>
    <x v="2"/>
    <s v="No"/>
    <x v="1"/>
  </r>
  <r>
    <s v="B0259"/>
    <x v="180"/>
    <s v="2025-06-06"/>
    <s v="2025-06-08"/>
    <x v="0"/>
    <x v="2"/>
    <x v="0"/>
    <x v="0"/>
    <x v="3"/>
    <n v="4500"/>
    <n v="2"/>
    <n v="9000"/>
    <s v="Occupied"/>
    <x v="1"/>
    <s v="No"/>
    <x v="2"/>
  </r>
  <r>
    <s v="B0260"/>
    <x v="181"/>
    <s v="2025-06-06"/>
    <s v="2025-06-13"/>
    <x v="4"/>
    <x v="3"/>
    <x v="0"/>
    <x v="2"/>
    <x v="1"/>
    <n v="5500"/>
    <n v="7"/>
    <n v="38500"/>
    <s v="Cancelled"/>
    <x v="2"/>
    <s v="Yes"/>
    <x v="11"/>
  </r>
  <r>
    <s v="B0261"/>
    <x v="182"/>
    <s v="2025-04-06"/>
    <s v="2025-04-11"/>
    <x v="3"/>
    <x v="1"/>
    <x v="1"/>
    <x v="1"/>
    <x v="0"/>
    <n v="5500"/>
    <n v="5"/>
    <n v="27500"/>
    <s v="Occupied"/>
    <x v="1"/>
    <s v="No"/>
    <x v="7"/>
  </r>
  <r>
    <s v="B0262"/>
    <x v="113"/>
    <s v="2025-01-18"/>
    <s v="2025-01-20"/>
    <x v="0"/>
    <x v="0"/>
    <x v="1"/>
    <x v="0"/>
    <x v="2"/>
    <n v="9000"/>
    <n v="2"/>
    <n v="18000"/>
    <s v="Occupied"/>
    <x v="1"/>
    <s v="No"/>
    <x v="8"/>
  </r>
  <r>
    <s v="B0263"/>
    <x v="183"/>
    <s v="2025-07-13"/>
    <s v="2025-07-18"/>
    <x v="4"/>
    <x v="2"/>
    <x v="1"/>
    <x v="1"/>
    <x v="2"/>
    <n v="9000"/>
    <n v="5"/>
    <n v="45000"/>
    <s v="Occupied"/>
    <x v="1"/>
    <s v="No"/>
    <x v="6"/>
  </r>
  <r>
    <s v="B0264"/>
    <x v="184"/>
    <s v="2025-01-08"/>
    <s v="2025-01-13"/>
    <x v="3"/>
    <x v="1"/>
    <x v="0"/>
    <x v="0"/>
    <x v="2"/>
    <n v="9000"/>
    <n v="5"/>
    <n v="45000"/>
    <s v="Occupied"/>
    <x v="2"/>
    <s v="No"/>
    <x v="8"/>
  </r>
  <r>
    <s v="B0265"/>
    <x v="38"/>
    <s v="2025-04-06"/>
    <s v="2025-04-07"/>
    <x v="1"/>
    <x v="1"/>
    <x v="2"/>
    <x v="2"/>
    <x v="3"/>
    <n v="7000"/>
    <n v="1"/>
    <n v="7000"/>
    <s v="Occupied"/>
    <x v="0"/>
    <s v="No"/>
    <x v="9"/>
  </r>
  <r>
    <s v="B0266"/>
    <x v="114"/>
    <s v="2025-07-26"/>
    <s v="2025-07-29"/>
    <x v="0"/>
    <x v="4"/>
    <x v="0"/>
    <x v="1"/>
    <x v="0"/>
    <n v="5500"/>
    <n v="3"/>
    <n v="16500"/>
    <s v="Occupied"/>
    <x v="0"/>
    <s v="No"/>
    <x v="6"/>
  </r>
  <r>
    <s v="B0267"/>
    <x v="48"/>
    <s v="2025-03-02"/>
    <s v="2025-03-06"/>
    <x v="3"/>
    <x v="3"/>
    <x v="1"/>
    <x v="2"/>
    <x v="2"/>
    <n v="5500"/>
    <n v="4"/>
    <n v="22000"/>
    <s v="Occupied"/>
    <x v="0"/>
    <s v="No"/>
    <x v="3"/>
  </r>
  <r>
    <s v="B0268"/>
    <x v="185"/>
    <s v="2025-12-23"/>
    <s v="2025-12-26"/>
    <x v="1"/>
    <x v="0"/>
    <x v="1"/>
    <x v="1"/>
    <x v="2"/>
    <n v="7000"/>
    <n v="3"/>
    <n v="21000"/>
    <s v="Cancelled"/>
    <x v="4"/>
    <s v="Yes"/>
    <x v="0"/>
  </r>
  <r>
    <s v="B0269"/>
    <x v="186"/>
    <s v="2025-05-21"/>
    <s v="2025-05-22"/>
    <x v="0"/>
    <x v="4"/>
    <x v="1"/>
    <x v="1"/>
    <x v="1"/>
    <n v="9000"/>
    <n v="1"/>
    <n v="9000"/>
    <s v="Cancelled"/>
    <x v="4"/>
    <s v="Yes"/>
    <x v="11"/>
  </r>
  <r>
    <s v="B0270"/>
    <x v="187"/>
    <s v="2026-01-27"/>
    <s v="2026-01-31"/>
    <x v="0"/>
    <x v="1"/>
    <x v="2"/>
    <x v="0"/>
    <x v="3"/>
    <n v="2500"/>
    <n v="4"/>
    <n v="10000"/>
    <s v="Occupied"/>
    <x v="1"/>
    <s v="No"/>
    <x v="4"/>
  </r>
  <r>
    <s v="B0271"/>
    <x v="84"/>
    <s v="2025-08-10"/>
    <s v="2025-08-16"/>
    <x v="3"/>
    <x v="1"/>
    <x v="0"/>
    <x v="2"/>
    <x v="0"/>
    <n v="3500"/>
    <n v="6"/>
    <n v="21000"/>
    <s v="Occupied"/>
    <x v="1"/>
    <s v="No"/>
    <x v="6"/>
  </r>
  <r>
    <s v="B0272"/>
    <x v="188"/>
    <s v="2025-03-06"/>
    <s v="2025-03-08"/>
    <x v="1"/>
    <x v="2"/>
    <x v="2"/>
    <x v="1"/>
    <x v="3"/>
    <n v="2500"/>
    <n v="2"/>
    <n v="5000"/>
    <s v="Occupied"/>
    <x v="1"/>
    <s v="No"/>
    <x v="3"/>
  </r>
  <r>
    <s v="B0273"/>
    <x v="148"/>
    <s v="2025-09-04"/>
    <s v="2025-09-06"/>
    <x v="4"/>
    <x v="3"/>
    <x v="0"/>
    <x v="0"/>
    <x v="2"/>
    <n v="4500"/>
    <n v="2"/>
    <n v="9000"/>
    <s v="Occupied"/>
    <x v="2"/>
    <s v="No"/>
    <x v="5"/>
  </r>
  <r>
    <s v="B0274"/>
    <x v="67"/>
    <s v="2025-03-10"/>
    <s v="2025-03-15"/>
    <x v="3"/>
    <x v="0"/>
    <x v="2"/>
    <x v="1"/>
    <x v="2"/>
    <n v="4500"/>
    <n v="5"/>
    <n v="22500"/>
    <s v="Occupied"/>
    <x v="1"/>
    <s v="No"/>
    <x v="3"/>
  </r>
  <r>
    <s v="B0275"/>
    <x v="187"/>
    <s v="2026-01-26"/>
    <s v="2026-02-01"/>
    <x v="2"/>
    <x v="0"/>
    <x v="1"/>
    <x v="1"/>
    <x v="3"/>
    <n v="3500"/>
    <n v="6"/>
    <n v="21000"/>
    <s v="Occupied"/>
    <x v="2"/>
    <s v="No"/>
    <x v="4"/>
  </r>
  <r>
    <s v="B0276"/>
    <x v="88"/>
    <s v="2025-08-28"/>
    <s v="2025-09-04"/>
    <x v="0"/>
    <x v="2"/>
    <x v="2"/>
    <x v="0"/>
    <x v="2"/>
    <n v="4500"/>
    <n v="7"/>
    <n v="31500"/>
    <s v="Occupied"/>
    <x v="0"/>
    <s v="No"/>
    <x v="5"/>
  </r>
  <r>
    <s v="B0277"/>
    <x v="63"/>
    <s v="2025-02-23"/>
    <s v="2025-02-24"/>
    <x v="1"/>
    <x v="4"/>
    <x v="2"/>
    <x v="1"/>
    <x v="3"/>
    <n v="4500"/>
    <n v="1"/>
    <n v="4500"/>
    <s v="Occupied"/>
    <x v="1"/>
    <s v="No"/>
    <x v="3"/>
  </r>
  <r>
    <s v="B0278"/>
    <x v="173"/>
    <s v="2025-08-13"/>
    <s v="2025-08-20"/>
    <x v="0"/>
    <x v="1"/>
    <x v="0"/>
    <x v="1"/>
    <x v="2"/>
    <n v="2500"/>
    <n v="7"/>
    <n v="17500"/>
    <s v="Occupied"/>
    <x v="1"/>
    <s v="No"/>
    <x v="6"/>
  </r>
  <r>
    <s v="B0279"/>
    <x v="189"/>
    <s v="2025-04-02"/>
    <s v="2025-04-05"/>
    <x v="3"/>
    <x v="3"/>
    <x v="2"/>
    <x v="2"/>
    <x v="2"/>
    <n v="4500"/>
    <n v="3"/>
    <n v="13500"/>
    <s v="Occupied"/>
    <x v="0"/>
    <s v="No"/>
    <x v="7"/>
  </r>
  <r>
    <s v="B0280"/>
    <x v="141"/>
    <s v="2025-06-19"/>
    <s v="2025-06-26"/>
    <x v="4"/>
    <x v="1"/>
    <x v="0"/>
    <x v="1"/>
    <x v="2"/>
    <n v="2500"/>
    <n v="7"/>
    <n v="17500"/>
    <s v="Occupied"/>
    <x v="0"/>
    <s v="No"/>
    <x v="2"/>
  </r>
  <r>
    <s v="B0281"/>
    <x v="190"/>
    <s v="2025-03-01"/>
    <s v="2025-03-04"/>
    <x v="1"/>
    <x v="2"/>
    <x v="2"/>
    <x v="2"/>
    <x v="3"/>
    <n v="2500"/>
    <n v="3"/>
    <n v="7500"/>
    <s v="Cancelled"/>
    <x v="0"/>
    <s v="Yes"/>
    <x v="3"/>
  </r>
  <r>
    <s v="B0282"/>
    <x v="36"/>
    <s v="2025-09-05"/>
    <s v="2025-09-12"/>
    <x v="2"/>
    <x v="4"/>
    <x v="0"/>
    <x v="0"/>
    <x v="1"/>
    <n v="9000"/>
    <n v="7"/>
    <n v="63000"/>
    <s v="Cancelled"/>
    <x v="3"/>
    <s v="Yes"/>
    <x v="5"/>
  </r>
  <r>
    <s v="B0283"/>
    <x v="160"/>
    <s v="2025-09-14"/>
    <s v="2025-09-16"/>
    <x v="4"/>
    <x v="1"/>
    <x v="1"/>
    <x v="2"/>
    <x v="2"/>
    <n v="5500"/>
    <n v="2"/>
    <n v="11000"/>
    <s v="Cancelled"/>
    <x v="0"/>
    <s v="Yes"/>
    <x v="10"/>
  </r>
  <r>
    <s v="B0284"/>
    <x v="191"/>
    <s v="2025-06-20"/>
    <s v="2025-06-27"/>
    <x v="0"/>
    <x v="1"/>
    <x v="0"/>
    <x v="1"/>
    <x v="0"/>
    <n v="5500"/>
    <n v="7"/>
    <n v="38500"/>
    <s v="Occupied"/>
    <x v="1"/>
    <s v="No"/>
    <x v="11"/>
  </r>
  <r>
    <s v="B0285"/>
    <x v="8"/>
    <s v="2025-09-17"/>
    <s v="2025-09-19"/>
    <x v="3"/>
    <x v="2"/>
    <x v="0"/>
    <x v="2"/>
    <x v="1"/>
    <n v="5500"/>
    <n v="2"/>
    <n v="11000"/>
    <s v="Occupied"/>
    <x v="1"/>
    <s v="No"/>
    <x v="5"/>
  </r>
  <r>
    <s v="B0286"/>
    <x v="192"/>
    <s v="2025-12-01"/>
    <s v="2025-12-03"/>
    <x v="4"/>
    <x v="2"/>
    <x v="1"/>
    <x v="2"/>
    <x v="2"/>
    <n v="4500"/>
    <n v="2"/>
    <n v="9000"/>
    <s v="Occupied"/>
    <x v="1"/>
    <s v="No"/>
    <x v="0"/>
  </r>
  <r>
    <s v="B0287"/>
    <x v="155"/>
    <s v="2025-11-08"/>
    <s v="2025-11-13"/>
    <x v="1"/>
    <x v="0"/>
    <x v="2"/>
    <x v="0"/>
    <x v="0"/>
    <n v="7000"/>
    <n v="5"/>
    <n v="35000"/>
    <s v="Cancelled"/>
    <x v="2"/>
    <s v="Yes"/>
    <x v="1"/>
  </r>
  <r>
    <s v="B0288"/>
    <x v="42"/>
    <s v="2025-03-22"/>
    <s v="2025-03-24"/>
    <x v="1"/>
    <x v="0"/>
    <x v="0"/>
    <x v="0"/>
    <x v="2"/>
    <n v="9000"/>
    <n v="2"/>
    <n v="18000"/>
    <s v="Occupied"/>
    <x v="0"/>
    <s v="No"/>
    <x v="3"/>
  </r>
  <r>
    <s v="B0289"/>
    <x v="164"/>
    <s v="2025-07-15"/>
    <s v="2025-07-19"/>
    <x v="0"/>
    <x v="1"/>
    <x v="0"/>
    <x v="0"/>
    <x v="1"/>
    <n v="2500"/>
    <n v="4"/>
    <n v="10000"/>
    <s v="Occupied"/>
    <x v="2"/>
    <s v="No"/>
    <x v="2"/>
  </r>
  <r>
    <s v="B0290"/>
    <x v="193"/>
    <s v="2025-08-29"/>
    <s v="2025-09-02"/>
    <x v="1"/>
    <x v="3"/>
    <x v="2"/>
    <x v="1"/>
    <x v="2"/>
    <n v="5500"/>
    <n v="4"/>
    <n v="22000"/>
    <s v="Occupied"/>
    <x v="1"/>
    <s v="No"/>
    <x v="5"/>
  </r>
  <r>
    <s v="B0291"/>
    <x v="109"/>
    <s v="2025-03-05"/>
    <s v="2025-03-09"/>
    <x v="0"/>
    <x v="4"/>
    <x v="2"/>
    <x v="2"/>
    <x v="2"/>
    <n v="2500"/>
    <n v="4"/>
    <n v="10000"/>
    <s v="Occupied"/>
    <x v="1"/>
    <s v="No"/>
    <x v="3"/>
  </r>
  <r>
    <s v="B0292"/>
    <x v="55"/>
    <s v="2025-05-03"/>
    <s v="2025-05-07"/>
    <x v="4"/>
    <x v="4"/>
    <x v="1"/>
    <x v="2"/>
    <x v="0"/>
    <n v="4500"/>
    <n v="4"/>
    <n v="18000"/>
    <s v="Occupied"/>
    <x v="2"/>
    <s v="No"/>
    <x v="9"/>
  </r>
  <r>
    <s v="B0293"/>
    <x v="115"/>
    <s v="2026-01-03"/>
    <s v="2026-01-04"/>
    <x v="0"/>
    <x v="3"/>
    <x v="0"/>
    <x v="1"/>
    <x v="1"/>
    <n v="4500"/>
    <n v="1"/>
    <n v="4500"/>
    <s v="Occupied"/>
    <x v="1"/>
    <s v="No"/>
    <x v="4"/>
  </r>
  <r>
    <s v="B0294"/>
    <x v="164"/>
    <s v="2025-07-07"/>
    <s v="2025-07-11"/>
    <x v="0"/>
    <x v="3"/>
    <x v="0"/>
    <x v="0"/>
    <x v="2"/>
    <n v="5500"/>
    <n v="4"/>
    <n v="22000"/>
    <s v="Occupied"/>
    <x v="2"/>
    <s v="No"/>
    <x v="2"/>
  </r>
  <r>
    <s v="B0295"/>
    <x v="128"/>
    <s v="2025-07-23"/>
    <s v="2025-07-29"/>
    <x v="1"/>
    <x v="2"/>
    <x v="2"/>
    <x v="1"/>
    <x v="1"/>
    <n v="7000"/>
    <n v="6"/>
    <n v="42000"/>
    <s v="Cancelled"/>
    <x v="2"/>
    <s v="Yes"/>
    <x v="6"/>
  </r>
  <r>
    <s v="B0296"/>
    <x v="55"/>
    <s v="2025-04-25"/>
    <s v="2025-05-02"/>
    <x v="1"/>
    <x v="0"/>
    <x v="0"/>
    <x v="1"/>
    <x v="3"/>
    <n v="9000"/>
    <n v="7"/>
    <n v="63000"/>
    <s v="Occupied"/>
    <x v="0"/>
    <s v="No"/>
    <x v="9"/>
  </r>
  <r>
    <s v="B0297"/>
    <x v="194"/>
    <s v="2025-06-23"/>
    <s v="2025-06-27"/>
    <x v="1"/>
    <x v="4"/>
    <x v="0"/>
    <x v="2"/>
    <x v="2"/>
    <n v="2500"/>
    <n v="4"/>
    <n v="10000"/>
    <s v="Occupied"/>
    <x v="2"/>
    <s v="No"/>
    <x v="2"/>
  </r>
  <r>
    <s v="B0298"/>
    <x v="100"/>
    <s v="2025-11-01"/>
    <s v="2025-11-04"/>
    <x v="0"/>
    <x v="4"/>
    <x v="0"/>
    <x v="0"/>
    <x v="0"/>
    <n v="4500"/>
    <n v="3"/>
    <n v="13500"/>
    <s v="Occupied"/>
    <x v="1"/>
    <s v="No"/>
    <x v="1"/>
  </r>
  <r>
    <s v="B0299"/>
    <x v="195"/>
    <s v="2025-12-16"/>
    <s v="2025-12-19"/>
    <x v="0"/>
    <x v="4"/>
    <x v="0"/>
    <x v="1"/>
    <x v="2"/>
    <n v="2500"/>
    <n v="3"/>
    <n v="7500"/>
    <s v="Occupied"/>
    <x v="0"/>
    <s v="No"/>
    <x v="4"/>
  </r>
  <r>
    <s v="B0300"/>
    <x v="29"/>
    <s v="2025-08-23"/>
    <s v="2025-08-25"/>
    <x v="4"/>
    <x v="1"/>
    <x v="0"/>
    <x v="0"/>
    <x v="1"/>
    <n v="7000"/>
    <n v="2"/>
    <n v="14000"/>
    <s v="Occupied"/>
    <x v="0"/>
    <s v="No"/>
    <x v="5"/>
  </r>
  <r>
    <s v="B0301"/>
    <x v="196"/>
    <s v="2025-10-18"/>
    <s v="2025-10-22"/>
    <x v="4"/>
    <x v="1"/>
    <x v="1"/>
    <x v="2"/>
    <x v="0"/>
    <n v="4500"/>
    <n v="4"/>
    <n v="18000"/>
    <s v="Occupied"/>
    <x v="2"/>
    <s v="No"/>
    <x v="1"/>
  </r>
  <r>
    <s v="B0302"/>
    <x v="197"/>
    <s v="2025-09-11"/>
    <s v="2025-09-13"/>
    <x v="4"/>
    <x v="2"/>
    <x v="2"/>
    <x v="0"/>
    <x v="2"/>
    <n v="5500"/>
    <n v="2"/>
    <n v="11000"/>
    <s v="Cancelled"/>
    <x v="2"/>
    <s v="Yes"/>
    <x v="10"/>
  </r>
  <r>
    <s v="B0303"/>
    <x v="198"/>
    <s v="2025-09-14"/>
    <s v="2025-09-15"/>
    <x v="2"/>
    <x v="0"/>
    <x v="2"/>
    <x v="1"/>
    <x v="3"/>
    <n v="7000"/>
    <n v="1"/>
    <n v="7000"/>
    <s v="Occupied"/>
    <x v="0"/>
    <s v="No"/>
    <x v="10"/>
  </r>
  <r>
    <s v="B0304"/>
    <x v="189"/>
    <s v="2025-04-22"/>
    <s v="2025-04-26"/>
    <x v="1"/>
    <x v="1"/>
    <x v="1"/>
    <x v="0"/>
    <x v="0"/>
    <n v="7000"/>
    <n v="4"/>
    <n v="28000"/>
    <s v="Occupied"/>
    <x v="2"/>
    <s v="No"/>
    <x v="7"/>
  </r>
  <r>
    <s v="B0305"/>
    <x v="199"/>
    <s v="2025-06-12"/>
    <s v="2025-06-17"/>
    <x v="4"/>
    <x v="1"/>
    <x v="1"/>
    <x v="2"/>
    <x v="0"/>
    <n v="4500"/>
    <n v="5"/>
    <n v="22500"/>
    <s v="Occupied"/>
    <x v="0"/>
    <s v="No"/>
    <x v="11"/>
  </r>
  <r>
    <s v="B0306"/>
    <x v="200"/>
    <s v="2025-12-26"/>
    <s v="2025-12-28"/>
    <x v="4"/>
    <x v="4"/>
    <x v="2"/>
    <x v="1"/>
    <x v="2"/>
    <n v="4500"/>
    <n v="2"/>
    <n v="9000"/>
    <s v="Cancelled"/>
    <x v="4"/>
    <s v="Yes"/>
    <x v="4"/>
  </r>
  <r>
    <s v="B0307"/>
    <x v="201"/>
    <s v="2025-03-27"/>
    <s v="2025-04-03"/>
    <x v="1"/>
    <x v="4"/>
    <x v="0"/>
    <x v="0"/>
    <x v="2"/>
    <n v="3500"/>
    <n v="7"/>
    <n v="24500"/>
    <s v="Occupied"/>
    <x v="1"/>
    <s v="No"/>
    <x v="7"/>
  </r>
  <r>
    <s v="B0308"/>
    <x v="202"/>
    <s v="2025-04-15"/>
    <s v="2025-04-17"/>
    <x v="1"/>
    <x v="4"/>
    <x v="0"/>
    <x v="2"/>
    <x v="1"/>
    <n v="3500"/>
    <n v="2"/>
    <n v="7000"/>
    <s v="Occupied"/>
    <x v="0"/>
    <s v="No"/>
    <x v="7"/>
  </r>
  <r>
    <s v="B0309"/>
    <x v="203"/>
    <s v="2025-07-08"/>
    <s v="2025-07-11"/>
    <x v="3"/>
    <x v="3"/>
    <x v="2"/>
    <x v="1"/>
    <x v="3"/>
    <n v="4500"/>
    <n v="3"/>
    <n v="13500"/>
    <s v="Occupied"/>
    <x v="1"/>
    <s v="No"/>
    <x v="2"/>
  </r>
  <r>
    <s v="B0310"/>
    <x v="204"/>
    <s v="2025-12-07"/>
    <s v="2025-12-13"/>
    <x v="2"/>
    <x v="3"/>
    <x v="0"/>
    <x v="2"/>
    <x v="2"/>
    <n v="3500"/>
    <n v="6"/>
    <n v="21000"/>
    <s v="Occupied"/>
    <x v="1"/>
    <s v="No"/>
    <x v="4"/>
  </r>
  <r>
    <s v="B0311"/>
    <x v="205"/>
    <s v="2025-04-02"/>
    <s v="2025-04-08"/>
    <x v="4"/>
    <x v="0"/>
    <x v="0"/>
    <x v="1"/>
    <x v="2"/>
    <n v="4500"/>
    <n v="6"/>
    <n v="27000"/>
    <s v="Occupied"/>
    <x v="2"/>
    <s v="No"/>
    <x v="7"/>
  </r>
  <r>
    <s v="B0312"/>
    <x v="21"/>
    <s v="2025-10-15"/>
    <s v="2025-10-18"/>
    <x v="4"/>
    <x v="2"/>
    <x v="2"/>
    <x v="0"/>
    <x v="0"/>
    <n v="9000"/>
    <n v="3"/>
    <n v="27000"/>
    <s v="Cancelled"/>
    <x v="0"/>
    <s v="Yes"/>
    <x v="10"/>
  </r>
  <r>
    <s v="B0313"/>
    <x v="48"/>
    <s v="2025-03-13"/>
    <s v="2025-03-17"/>
    <x v="3"/>
    <x v="1"/>
    <x v="2"/>
    <x v="1"/>
    <x v="2"/>
    <n v="9000"/>
    <n v="4"/>
    <n v="36000"/>
    <s v="Occupied"/>
    <x v="2"/>
    <s v="No"/>
    <x v="3"/>
  </r>
  <r>
    <s v="B0314"/>
    <x v="18"/>
    <s v="2025-05-05"/>
    <s v="2025-05-08"/>
    <x v="1"/>
    <x v="1"/>
    <x v="1"/>
    <x v="0"/>
    <x v="2"/>
    <n v="4500"/>
    <n v="3"/>
    <n v="13500"/>
    <s v="Occupied"/>
    <x v="2"/>
    <s v="No"/>
    <x v="9"/>
  </r>
  <r>
    <s v="B0315"/>
    <x v="33"/>
    <s v="2025-07-24"/>
    <s v="2025-07-30"/>
    <x v="4"/>
    <x v="0"/>
    <x v="1"/>
    <x v="1"/>
    <x v="2"/>
    <n v="2500"/>
    <n v="6"/>
    <n v="15000"/>
    <s v="Occupied"/>
    <x v="1"/>
    <s v="No"/>
    <x v="2"/>
  </r>
  <r>
    <s v="B0316"/>
    <x v="206"/>
    <s v="2025-08-23"/>
    <s v="2025-08-27"/>
    <x v="2"/>
    <x v="3"/>
    <x v="2"/>
    <x v="1"/>
    <x v="3"/>
    <n v="3500"/>
    <n v="4"/>
    <n v="14000"/>
    <s v="Cancelled"/>
    <x v="3"/>
    <s v="Yes"/>
    <x v="5"/>
  </r>
  <r>
    <s v="B0317"/>
    <x v="207"/>
    <s v="2025-05-12"/>
    <s v="2025-05-15"/>
    <x v="3"/>
    <x v="2"/>
    <x v="0"/>
    <x v="2"/>
    <x v="1"/>
    <n v="9000"/>
    <n v="3"/>
    <n v="27000"/>
    <s v="Cancelled"/>
    <x v="3"/>
    <s v="Yes"/>
    <x v="11"/>
  </r>
  <r>
    <s v="B0318"/>
    <x v="208"/>
    <s v="2025-08-29"/>
    <s v="2025-08-30"/>
    <x v="4"/>
    <x v="0"/>
    <x v="1"/>
    <x v="0"/>
    <x v="1"/>
    <n v="9000"/>
    <n v="1"/>
    <n v="9000"/>
    <s v="Occupied"/>
    <x v="0"/>
    <s v="No"/>
    <x v="5"/>
  </r>
  <r>
    <s v="B0319"/>
    <x v="82"/>
    <s v="2025-10-15"/>
    <s v="2025-10-19"/>
    <x v="3"/>
    <x v="2"/>
    <x v="0"/>
    <x v="1"/>
    <x v="2"/>
    <n v="2500"/>
    <n v="4"/>
    <n v="10000"/>
    <s v="Occupied"/>
    <x v="2"/>
    <s v="No"/>
    <x v="10"/>
  </r>
  <r>
    <s v="B0320"/>
    <x v="209"/>
    <s v="2025-02-14"/>
    <s v="2025-02-18"/>
    <x v="3"/>
    <x v="4"/>
    <x v="2"/>
    <x v="2"/>
    <x v="1"/>
    <n v="2500"/>
    <n v="4"/>
    <n v="10000"/>
    <s v="Occupied"/>
    <x v="0"/>
    <s v="No"/>
    <x v="3"/>
  </r>
  <r>
    <s v="B0321"/>
    <x v="39"/>
    <s v="2025-08-09"/>
    <s v="2025-08-16"/>
    <x v="0"/>
    <x v="0"/>
    <x v="0"/>
    <x v="0"/>
    <x v="0"/>
    <n v="3500"/>
    <n v="7"/>
    <n v="24500"/>
    <s v="Occupied"/>
    <x v="1"/>
    <s v="No"/>
    <x v="6"/>
  </r>
  <r>
    <s v="B0322"/>
    <x v="98"/>
    <s v="2025-11-30"/>
    <s v="2025-12-02"/>
    <x v="0"/>
    <x v="2"/>
    <x v="0"/>
    <x v="0"/>
    <x v="2"/>
    <n v="5500"/>
    <n v="2"/>
    <n v="11000"/>
    <s v="Occupied"/>
    <x v="0"/>
    <s v="No"/>
    <x v="0"/>
  </r>
  <r>
    <s v="B0323"/>
    <x v="210"/>
    <s v="2025-04-25"/>
    <s v="2025-04-26"/>
    <x v="4"/>
    <x v="4"/>
    <x v="2"/>
    <x v="2"/>
    <x v="1"/>
    <n v="3500"/>
    <n v="1"/>
    <n v="3500"/>
    <s v="Occupied"/>
    <x v="1"/>
    <s v="No"/>
    <x v="9"/>
  </r>
  <r>
    <s v="B0324"/>
    <x v="61"/>
    <s v="2025-05-16"/>
    <s v="2025-05-22"/>
    <x v="1"/>
    <x v="1"/>
    <x v="2"/>
    <x v="0"/>
    <x v="0"/>
    <n v="2500"/>
    <n v="6"/>
    <n v="15000"/>
    <s v="Occupied"/>
    <x v="1"/>
    <s v="No"/>
    <x v="11"/>
  </r>
  <r>
    <s v="B0325"/>
    <x v="40"/>
    <s v="2026-01-02"/>
    <s v="2026-01-05"/>
    <x v="0"/>
    <x v="2"/>
    <x v="2"/>
    <x v="0"/>
    <x v="0"/>
    <n v="3500"/>
    <n v="3"/>
    <n v="10500"/>
    <s v="Occupied"/>
    <x v="1"/>
    <s v="No"/>
    <x v="4"/>
  </r>
  <r>
    <s v="B0326"/>
    <x v="178"/>
    <s v="2025-05-19"/>
    <s v="2025-05-23"/>
    <x v="1"/>
    <x v="0"/>
    <x v="0"/>
    <x v="1"/>
    <x v="3"/>
    <n v="2500"/>
    <n v="4"/>
    <n v="10000"/>
    <s v="Occupied"/>
    <x v="1"/>
    <s v="No"/>
    <x v="11"/>
  </r>
  <r>
    <s v="B0327"/>
    <x v="159"/>
    <s v="2025-06-17"/>
    <s v="2025-06-21"/>
    <x v="0"/>
    <x v="2"/>
    <x v="1"/>
    <x v="1"/>
    <x v="0"/>
    <n v="7000"/>
    <n v="4"/>
    <n v="28000"/>
    <s v="Occupied"/>
    <x v="1"/>
    <s v="No"/>
    <x v="2"/>
  </r>
  <r>
    <s v="B0328"/>
    <x v="177"/>
    <s v="2025-01-17"/>
    <s v="2025-01-19"/>
    <x v="1"/>
    <x v="4"/>
    <x v="0"/>
    <x v="0"/>
    <x v="2"/>
    <n v="2500"/>
    <n v="2"/>
    <n v="5000"/>
    <s v="Cancelled"/>
    <x v="2"/>
    <s v="Yes"/>
    <x v="8"/>
  </r>
  <r>
    <s v="B0329"/>
    <x v="211"/>
    <s v="2025-08-28"/>
    <s v="2025-09-01"/>
    <x v="1"/>
    <x v="3"/>
    <x v="2"/>
    <x v="1"/>
    <x v="3"/>
    <n v="2500"/>
    <n v="4"/>
    <n v="10000"/>
    <s v="Occupied"/>
    <x v="1"/>
    <s v="No"/>
    <x v="5"/>
  </r>
  <r>
    <s v="B0330"/>
    <x v="6"/>
    <s v="2025-02-27"/>
    <s v="2025-03-01"/>
    <x v="1"/>
    <x v="0"/>
    <x v="2"/>
    <x v="0"/>
    <x v="2"/>
    <n v="3500"/>
    <n v="2"/>
    <n v="7000"/>
    <s v="Occupied"/>
    <x v="2"/>
    <s v="No"/>
    <x v="3"/>
  </r>
  <r>
    <s v="B0331"/>
    <x v="178"/>
    <s v="2025-05-05"/>
    <s v="2025-05-07"/>
    <x v="4"/>
    <x v="1"/>
    <x v="0"/>
    <x v="1"/>
    <x v="3"/>
    <n v="2500"/>
    <n v="2"/>
    <n v="5000"/>
    <s v="Cancelled"/>
    <x v="4"/>
    <s v="Yes"/>
    <x v="11"/>
  </r>
  <r>
    <s v="B0332"/>
    <x v="212"/>
    <s v="2026-01-01"/>
    <s v="2026-01-07"/>
    <x v="0"/>
    <x v="0"/>
    <x v="1"/>
    <x v="2"/>
    <x v="3"/>
    <n v="9000"/>
    <n v="6"/>
    <n v="54000"/>
    <s v="Occupied"/>
    <x v="0"/>
    <s v="No"/>
    <x v="4"/>
  </r>
  <r>
    <s v="B0333"/>
    <x v="213"/>
    <s v="2025-10-12"/>
    <s v="2025-10-19"/>
    <x v="0"/>
    <x v="4"/>
    <x v="0"/>
    <x v="1"/>
    <x v="0"/>
    <n v="9000"/>
    <n v="7"/>
    <n v="63000"/>
    <s v="Occupied"/>
    <x v="2"/>
    <s v="No"/>
    <x v="10"/>
  </r>
  <r>
    <s v="B0334"/>
    <x v="214"/>
    <s v="2025-07-17"/>
    <s v="2025-07-21"/>
    <x v="1"/>
    <x v="0"/>
    <x v="2"/>
    <x v="2"/>
    <x v="3"/>
    <n v="4500"/>
    <n v="4"/>
    <n v="18000"/>
    <s v="Occupied"/>
    <x v="2"/>
    <s v="No"/>
    <x v="2"/>
  </r>
  <r>
    <s v="B0335"/>
    <x v="215"/>
    <s v="2025-02-14"/>
    <s v="2025-02-21"/>
    <x v="2"/>
    <x v="0"/>
    <x v="0"/>
    <x v="0"/>
    <x v="0"/>
    <n v="7000"/>
    <n v="7"/>
    <n v="49000"/>
    <s v="Occupied"/>
    <x v="0"/>
    <s v="No"/>
    <x v="8"/>
  </r>
  <r>
    <s v="B0336"/>
    <x v="216"/>
    <s v="2025-05-21"/>
    <s v="2025-05-26"/>
    <x v="0"/>
    <x v="0"/>
    <x v="2"/>
    <x v="2"/>
    <x v="2"/>
    <n v="2500"/>
    <n v="5"/>
    <n v="12500"/>
    <s v="Occupied"/>
    <x v="0"/>
    <s v="No"/>
    <x v="9"/>
  </r>
  <r>
    <s v="B0337"/>
    <x v="217"/>
    <s v="2025-03-24"/>
    <s v="2025-03-31"/>
    <x v="4"/>
    <x v="3"/>
    <x v="2"/>
    <x v="1"/>
    <x v="2"/>
    <n v="2500"/>
    <n v="7"/>
    <n v="17500"/>
    <s v="Occupied"/>
    <x v="1"/>
    <s v="No"/>
    <x v="7"/>
  </r>
  <r>
    <s v="B0338"/>
    <x v="218"/>
    <s v="2025-06-22"/>
    <s v="2025-06-29"/>
    <x v="1"/>
    <x v="0"/>
    <x v="1"/>
    <x v="1"/>
    <x v="0"/>
    <n v="2500"/>
    <n v="7"/>
    <n v="17500"/>
    <s v="Occupied"/>
    <x v="0"/>
    <s v="No"/>
    <x v="2"/>
  </r>
  <r>
    <s v="B0339"/>
    <x v="9"/>
    <s v="2025-07-28"/>
    <s v="2025-08-01"/>
    <x v="2"/>
    <x v="0"/>
    <x v="0"/>
    <x v="2"/>
    <x v="0"/>
    <n v="4500"/>
    <n v="4"/>
    <n v="18000"/>
    <s v="Occupied"/>
    <x v="2"/>
    <s v="No"/>
    <x v="6"/>
  </r>
  <r>
    <s v="B0340"/>
    <x v="134"/>
    <s v="2025-07-15"/>
    <s v="2025-07-18"/>
    <x v="1"/>
    <x v="3"/>
    <x v="2"/>
    <x v="2"/>
    <x v="2"/>
    <n v="7000"/>
    <n v="3"/>
    <n v="21000"/>
    <s v="Occupied"/>
    <x v="1"/>
    <s v="No"/>
    <x v="6"/>
  </r>
  <r>
    <s v="B0341"/>
    <x v="219"/>
    <s v="2025-05-05"/>
    <s v="2025-05-10"/>
    <x v="3"/>
    <x v="3"/>
    <x v="0"/>
    <x v="2"/>
    <x v="0"/>
    <n v="3500"/>
    <n v="5"/>
    <n v="17500"/>
    <s v="Occupied"/>
    <x v="2"/>
    <s v="No"/>
    <x v="9"/>
  </r>
  <r>
    <s v="B0342"/>
    <x v="214"/>
    <s v="2025-06-22"/>
    <s v="2025-06-29"/>
    <x v="2"/>
    <x v="0"/>
    <x v="1"/>
    <x v="0"/>
    <x v="1"/>
    <n v="9000"/>
    <n v="7"/>
    <n v="63000"/>
    <s v="Occupied"/>
    <x v="1"/>
    <s v="No"/>
    <x v="2"/>
  </r>
  <r>
    <s v="B0343"/>
    <x v="29"/>
    <s v="2025-08-19"/>
    <s v="2025-08-20"/>
    <x v="3"/>
    <x v="3"/>
    <x v="0"/>
    <x v="2"/>
    <x v="3"/>
    <n v="3500"/>
    <n v="1"/>
    <n v="3500"/>
    <s v="Occupied"/>
    <x v="0"/>
    <s v="No"/>
    <x v="5"/>
  </r>
  <r>
    <s v="B0344"/>
    <x v="220"/>
    <s v="2025-09-16"/>
    <s v="2025-09-17"/>
    <x v="4"/>
    <x v="0"/>
    <x v="0"/>
    <x v="0"/>
    <x v="0"/>
    <n v="7000"/>
    <n v="1"/>
    <n v="7000"/>
    <s v="Occupied"/>
    <x v="0"/>
    <s v="No"/>
    <x v="5"/>
  </r>
  <r>
    <s v="B0345"/>
    <x v="221"/>
    <s v="2025-09-02"/>
    <s v="2025-09-04"/>
    <x v="4"/>
    <x v="4"/>
    <x v="2"/>
    <x v="2"/>
    <x v="3"/>
    <n v="3500"/>
    <n v="2"/>
    <n v="7000"/>
    <s v="Occupied"/>
    <x v="2"/>
    <s v="No"/>
    <x v="5"/>
  </r>
  <r>
    <s v="B0346"/>
    <x v="103"/>
    <s v="2025-05-03"/>
    <s v="2025-05-05"/>
    <x v="3"/>
    <x v="3"/>
    <x v="1"/>
    <x v="1"/>
    <x v="2"/>
    <n v="3500"/>
    <n v="2"/>
    <n v="7000"/>
    <s v="Occupied"/>
    <x v="1"/>
    <s v="No"/>
    <x v="9"/>
  </r>
  <r>
    <s v="B0347"/>
    <x v="47"/>
    <s v="2025-09-07"/>
    <s v="2025-09-11"/>
    <x v="4"/>
    <x v="4"/>
    <x v="2"/>
    <x v="2"/>
    <x v="0"/>
    <n v="2500"/>
    <n v="4"/>
    <n v="10000"/>
    <s v="Occupied"/>
    <x v="0"/>
    <s v="No"/>
    <x v="5"/>
  </r>
  <r>
    <s v="B0348"/>
    <x v="168"/>
    <s v="2025-02-22"/>
    <s v="2025-03-01"/>
    <x v="1"/>
    <x v="0"/>
    <x v="1"/>
    <x v="2"/>
    <x v="1"/>
    <n v="9000"/>
    <n v="7"/>
    <n v="63000"/>
    <s v="Occupied"/>
    <x v="1"/>
    <s v="No"/>
    <x v="3"/>
  </r>
  <r>
    <s v="B0349"/>
    <x v="168"/>
    <s v="2025-03-11"/>
    <s v="2025-03-13"/>
    <x v="2"/>
    <x v="4"/>
    <x v="1"/>
    <x v="1"/>
    <x v="2"/>
    <n v="4500"/>
    <n v="2"/>
    <n v="9000"/>
    <s v="Occupied"/>
    <x v="0"/>
    <s v="No"/>
    <x v="3"/>
  </r>
  <r>
    <s v="B0350"/>
    <x v="105"/>
    <s v="2025-09-07"/>
    <s v="2025-09-13"/>
    <x v="3"/>
    <x v="3"/>
    <x v="1"/>
    <x v="1"/>
    <x v="0"/>
    <n v="7000"/>
    <n v="6"/>
    <n v="42000"/>
    <s v="Occupied"/>
    <x v="2"/>
    <s v="No"/>
    <x v="5"/>
  </r>
  <r>
    <s v="B0351"/>
    <x v="222"/>
    <s v="2025-04-29"/>
    <s v="2025-05-01"/>
    <x v="3"/>
    <x v="1"/>
    <x v="0"/>
    <x v="2"/>
    <x v="0"/>
    <n v="5500"/>
    <n v="2"/>
    <n v="11000"/>
    <s v="Occupied"/>
    <x v="1"/>
    <s v="No"/>
    <x v="9"/>
  </r>
  <r>
    <s v="B0352"/>
    <x v="149"/>
    <s v="2025-01-15"/>
    <s v="2025-01-17"/>
    <x v="3"/>
    <x v="4"/>
    <x v="1"/>
    <x v="1"/>
    <x v="2"/>
    <n v="9000"/>
    <n v="2"/>
    <n v="18000"/>
    <s v="Occupied"/>
    <x v="0"/>
    <s v="No"/>
    <x v="8"/>
  </r>
  <r>
    <s v="B0353"/>
    <x v="25"/>
    <s v="2025-02-01"/>
    <s v="2025-02-06"/>
    <x v="4"/>
    <x v="0"/>
    <x v="2"/>
    <x v="0"/>
    <x v="2"/>
    <n v="5500"/>
    <n v="5"/>
    <n v="27500"/>
    <s v="Occupied"/>
    <x v="2"/>
    <s v="No"/>
    <x v="8"/>
  </r>
  <r>
    <s v="B0354"/>
    <x v="223"/>
    <s v="2025-04-11"/>
    <s v="2025-04-13"/>
    <x v="0"/>
    <x v="0"/>
    <x v="0"/>
    <x v="0"/>
    <x v="1"/>
    <n v="3500"/>
    <n v="2"/>
    <n v="7000"/>
    <s v="Occupied"/>
    <x v="2"/>
    <s v="No"/>
    <x v="7"/>
  </r>
  <r>
    <s v="B0355"/>
    <x v="224"/>
    <s v="2025-12-08"/>
    <s v="2025-12-12"/>
    <x v="3"/>
    <x v="0"/>
    <x v="2"/>
    <x v="2"/>
    <x v="1"/>
    <n v="5500"/>
    <n v="4"/>
    <n v="22000"/>
    <s v="Cancelled"/>
    <x v="2"/>
    <s v="Yes"/>
    <x v="0"/>
  </r>
  <r>
    <s v="B0356"/>
    <x v="29"/>
    <s v="2025-08-10"/>
    <s v="2025-08-16"/>
    <x v="3"/>
    <x v="2"/>
    <x v="0"/>
    <x v="2"/>
    <x v="2"/>
    <n v="7000"/>
    <n v="6"/>
    <n v="42000"/>
    <s v="Occupied"/>
    <x v="1"/>
    <s v="No"/>
    <x v="5"/>
  </r>
  <r>
    <s v="B0357"/>
    <x v="225"/>
    <s v="2025-11-01"/>
    <s v="2025-11-05"/>
    <x v="4"/>
    <x v="4"/>
    <x v="1"/>
    <x v="1"/>
    <x v="3"/>
    <n v="4500"/>
    <n v="4"/>
    <n v="18000"/>
    <s v="Cancelled"/>
    <x v="0"/>
    <s v="Yes"/>
    <x v="1"/>
  </r>
  <r>
    <s v="B0358"/>
    <x v="12"/>
    <s v="2025-11-10"/>
    <s v="2025-11-11"/>
    <x v="1"/>
    <x v="4"/>
    <x v="0"/>
    <x v="1"/>
    <x v="1"/>
    <n v="4500"/>
    <n v="1"/>
    <n v="4500"/>
    <s v="Occupied"/>
    <x v="2"/>
    <s v="No"/>
    <x v="0"/>
  </r>
  <r>
    <s v="B0359"/>
    <x v="162"/>
    <s v="2025-03-01"/>
    <s v="2025-03-07"/>
    <x v="3"/>
    <x v="3"/>
    <x v="0"/>
    <x v="2"/>
    <x v="3"/>
    <n v="3500"/>
    <n v="6"/>
    <n v="21000"/>
    <s v="Occupied"/>
    <x v="1"/>
    <s v="No"/>
    <x v="3"/>
  </r>
  <r>
    <s v="B0360"/>
    <x v="223"/>
    <s v="2025-04-05"/>
    <s v="2025-04-07"/>
    <x v="2"/>
    <x v="1"/>
    <x v="1"/>
    <x v="0"/>
    <x v="3"/>
    <n v="7000"/>
    <n v="2"/>
    <n v="14000"/>
    <s v="Occupied"/>
    <x v="1"/>
    <s v="No"/>
    <x v="7"/>
  </r>
  <r>
    <s v="B0361"/>
    <x v="165"/>
    <s v="2025-11-06"/>
    <s v="2025-11-08"/>
    <x v="1"/>
    <x v="4"/>
    <x v="1"/>
    <x v="2"/>
    <x v="0"/>
    <n v="7000"/>
    <n v="2"/>
    <n v="14000"/>
    <s v="Cancelled"/>
    <x v="2"/>
    <s v="Yes"/>
    <x v="1"/>
  </r>
  <r>
    <s v="B0362"/>
    <x v="168"/>
    <s v="2025-02-18"/>
    <s v="2025-02-20"/>
    <x v="4"/>
    <x v="0"/>
    <x v="2"/>
    <x v="0"/>
    <x v="1"/>
    <n v="7000"/>
    <n v="2"/>
    <n v="14000"/>
    <s v="Occupied"/>
    <x v="1"/>
    <s v="No"/>
    <x v="3"/>
  </r>
  <r>
    <s v="B0363"/>
    <x v="144"/>
    <s v="2025-03-19"/>
    <s v="2025-03-25"/>
    <x v="3"/>
    <x v="0"/>
    <x v="1"/>
    <x v="0"/>
    <x v="1"/>
    <n v="3500"/>
    <n v="6"/>
    <n v="21000"/>
    <s v="Cancelled"/>
    <x v="0"/>
    <s v="Yes"/>
    <x v="7"/>
  </r>
  <r>
    <s v="B0364"/>
    <x v="226"/>
    <s v="2025-03-26"/>
    <s v="2025-03-31"/>
    <x v="4"/>
    <x v="1"/>
    <x v="1"/>
    <x v="2"/>
    <x v="3"/>
    <n v="4500"/>
    <n v="5"/>
    <n v="22500"/>
    <s v="Cancelled"/>
    <x v="0"/>
    <s v="Yes"/>
    <x v="3"/>
  </r>
  <r>
    <s v="B0365"/>
    <x v="203"/>
    <s v="2025-06-20"/>
    <s v="2025-06-22"/>
    <x v="2"/>
    <x v="3"/>
    <x v="0"/>
    <x v="0"/>
    <x v="3"/>
    <n v="9000"/>
    <n v="2"/>
    <n v="18000"/>
    <s v="Cancelled"/>
    <x v="2"/>
    <s v="Yes"/>
    <x v="2"/>
  </r>
  <r>
    <s v="B0366"/>
    <x v="172"/>
    <s v="2025-05-17"/>
    <s v="2025-05-22"/>
    <x v="2"/>
    <x v="3"/>
    <x v="1"/>
    <x v="0"/>
    <x v="0"/>
    <n v="3500"/>
    <n v="5"/>
    <n v="17500"/>
    <s v="Occupied"/>
    <x v="1"/>
    <s v="No"/>
    <x v="9"/>
  </r>
  <r>
    <s v="B0367"/>
    <x v="227"/>
    <s v="2026-01-14"/>
    <s v="2026-01-18"/>
    <x v="2"/>
    <x v="1"/>
    <x v="1"/>
    <x v="0"/>
    <x v="0"/>
    <n v="7000"/>
    <n v="4"/>
    <n v="28000"/>
    <s v="Occupied"/>
    <x v="1"/>
    <s v="No"/>
    <x v="4"/>
  </r>
  <r>
    <s v="B0368"/>
    <x v="228"/>
    <s v="2025-09-17"/>
    <s v="2025-09-20"/>
    <x v="2"/>
    <x v="3"/>
    <x v="0"/>
    <x v="1"/>
    <x v="3"/>
    <n v="9000"/>
    <n v="3"/>
    <n v="27000"/>
    <s v="Occupied"/>
    <x v="2"/>
    <s v="No"/>
    <x v="10"/>
  </r>
  <r>
    <s v="B0369"/>
    <x v="193"/>
    <s v="2025-08-18"/>
    <s v="2025-08-21"/>
    <x v="2"/>
    <x v="4"/>
    <x v="1"/>
    <x v="0"/>
    <x v="0"/>
    <n v="3500"/>
    <n v="3"/>
    <n v="10500"/>
    <s v="Occupied"/>
    <x v="0"/>
    <s v="No"/>
    <x v="5"/>
  </r>
  <r>
    <s v="B0370"/>
    <x v="229"/>
    <s v="2025-02-07"/>
    <s v="2025-02-11"/>
    <x v="4"/>
    <x v="2"/>
    <x v="2"/>
    <x v="2"/>
    <x v="2"/>
    <n v="9000"/>
    <n v="4"/>
    <n v="36000"/>
    <s v="Occupied"/>
    <x v="0"/>
    <s v="No"/>
    <x v="8"/>
  </r>
  <r>
    <s v="B0371"/>
    <x v="162"/>
    <s v="2025-03-20"/>
    <s v="2025-03-24"/>
    <x v="0"/>
    <x v="3"/>
    <x v="2"/>
    <x v="1"/>
    <x v="0"/>
    <n v="7000"/>
    <n v="4"/>
    <n v="28000"/>
    <s v="Occupied"/>
    <x v="1"/>
    <s v="No"/>
    <x v="3"/>
  </r>
  <r>
    <s v="B0372"/>
    <x v="68"/>
    <s v="2025-06-01"/>
    <s v="2025-06-04"/>
    <x v="2"/>
    <x v="3"/>
    <x v="2"/>
    <x v="1"/>
    <x v="0"/>
    <n v="4500"/>
    <n v="3"/>
    <n v="13500"/>
    <s v="Cancelled"/>
    <x v="4"/>
    <s v="Yes"/>
    <x v="11"/>
  </r>
  <r>
    <s v="B0373"/>
    <x v="230"/>
    <s v="2025-11-06"/>
    <s v="2025-11-07"/>
    <x v="4"/>
    <x v="0"/>
    <x v="2"/>
    <x v="0"/>
    <x v="1"/>
    <n v="4500"/>
    <n v="1"/>
    <n v="4500"/>
    <s v="Occupied"/>
    <x v="1"/>
    <s v="No"/>
    <x v="1"/>
  </r>
  <r>
    <s v="B0374"/>
    <x v="73"/>
    <s v="2025-12-06"/>
    <s v="2025-12-10"/>
    <x v="0"/>
    <x v="3"/>
    <x v="2"/>
    <x v="0"/>
    <x v="3"/>
    <n v="3500"/>
    <n v="4"/>
    <n v="14000"/>
    <s v="Occupied"/>
    <x v="2"/>
    <s v="No"/>
    <x v="0"/>
  </r>
  <r>
    <s v="B0375"/>
    <x v="64"/>
    <s v="2025-12-15"/>
    <s v="2025-12-18"/>
    <x v="1"/>
    <x v="1"/>
    <x v="2"/>
    <x v="1"/>
    <x v="0"/>
    <n v="3500"/>
    <n v="3"/>
    <n v="10500"/>
    <s v="Occupied"/>
    <x v="2"/>
    <s v="No"/>
    <x v="4"/>
  </r>
  <r>
    <s v="B0376"/>
    <x v="231"/>
    <s v="2025-07-05"/>
    <s v="2025-07-09"/>
    <x v="1"/>
    <x v="2"/>
    <x v="1"/>
    <x v="1"/>
    <x v="0"/>
    <n v="2500"/>
    <n v="4"/>
    <n v="10000"/>
    <s v="Occupied"/>
    <x v="1"/>
    <s v="No"/>
    <x v="6"/>
  </r>
  <r>
    <s v="B0377"/>
    <x v="55"/>
    <s v="2025-04-22"/>
    <s v="2025-04-28"/>
    <x v="3"/>
    <x v="4"/>
    <x v="2"/>
    <x v="2"/>
    <x v="2"/>
    <n v="4500"/>
    <n v="6"/>
    <n v="27000"/>
    <s v="Cancelled"/>
    <x v="2"/>
    <s v="Yes"/>
    <x v="9"/>
  </r>
  <r>
    <s v="B0378"/>
    <x v="64"/>
    <s v="2025-12-14"/>
    <s v="2025-12-15"/>
    <x v="2"/>
    <x v="2"/>
    <x v="2"/>
    <x v="1"/>
    <x v="2"/>
    <n v="9000"/>
    <n v="1"/>
    <n v="9000"/>
    <s v="Occupied"/>
    <x v="0"/>
    <s v="No"/>
    <x v="4"/>
  </r>
  <r>
    <s v="B0379"/>
    <x v="232"/>
    <s v="2025-02-01"/>
    <s v="2025-02-05"/>
    <x v="1"/>
    <x v="0"/>
    <x v="1"/>
    <x v="0"/>
    <x v="0"/>
    <n v="5500"/>
    <n v="4"/>
    <n v="22000"/>
    <s v="Occupied"/>
    <x v="2"/>
    <s v="No"/>
    <x v="8"/>
  </r>
  <r>
    <s v="B0380"/>
    <x v="67"/>
    <s v="2025-03-07"/>
    <s v="2025-03-10"/>
    <x v="0"/>
    <x v="1"/>
    <x v="1"/>
    <x v="2"/>
    <x v="2"/>
    <n v="7000"/>
    <n v="3"/>
    <n v="21000"/>
    <s v="Occupied"/>
    <x v="1"/>
    <s v="No"/>
    <x v="3"/>
  </r>
  <r>
    <s v="B0381"/>
    <x v="24"/>
    <s v="2025-10-24"/>
    <s v="2025-10-31"/>
    <x v="4"/>
    <x v="4"/>
    <x v="1"/>
    <x v="2"/>
    <x v="0"/>
    <n v="5500"/>
    <n v="7"/>
    <n v="38500"/>
    <s v="Occupied"/>
    <x v="0"/>
    <s v="No"/>
    <x v="1"/>
  </r>
  <r>
    <s v="B0382"/>
    <x v="27"/>
    <s v="2025-10-04"/>
    <s v="2025-10-09"/>
    <x v="0"/>
    <x v="0"/>
    <x v="2"/>
    <x v="1"/>
    <x v="1"/>
    <n v="7000"/>
    <n v="5"/>
    <n v="35000"/>
    <s v="Occupied"/>
    <x v="1"/>
    <s v="No"/>
    <x v="10"/>
  </r>
  <r>
    <s v="B0383"/>
    <x v="18"/>
    <s v="2025-05-15"/>
    <s v="2025-05-17"/>
    <x v="4"/>
    <x v="3"/>
    <x v="0"/>
    <x v="1"/>
    <x v="3"/>
    <n v="3500"/>
    <n v="2"/>
    <n v="7000"/>
    <s v="Occupied"/>
    <x v="0"/>
    <s v="No"/>
    <x v="9"/>
  </r>
  <r>
    <s v="B0384"/>
    <x v="218"/>
    <s v="2025-07-13"/>
    <s v="2025-07-19"/>
    <x v="4"/>
    <x v="1"/>
    <x v="2"/>
    <x v="2"/>
    <x v="2"/>
    <n v="2500"/>
    <n v="6"/>
    <n v="15000"/>
    <s v="Occupied"/>
    <x v="1"/>
    <s v="No"/>
    <x v="2"/>
  </r>
  <r>
    <s v="B0385"/>
    <x v="184"/>
    <s v="2025-02-02"/>
    <s v="2025-02-08"/>
    <x v="3"/>
    <x v="2"/>
    <x v="1"/>
    <x v="1"/>
    <x v="0"/>
    <n v="7000"/>
    <n v="6"/>
    <n v="42000"/>
    <s v="Occupied"/>
    <x v="2"/>
    <s v="No"/>
    <x v="8"/>
  </r>
  <r>
    <s v="B0386"/>
    <x v="190"/>
    <s v="2025-03-15"/>
    <s v="2025-03-22"/>
    <x v="2"/>
    <x v="2"/>
    <x v="2"/>
    <x v="2"/>
    <x v="2"/>
    <n v="2500"/>
    <n v="7"/>
    <n v="17500"/>
    <s v="Occupied"/>
    <x v="1"/>
    <s v="No"/>
    <x v="3"/>
  </r>
  <r>
    <s v="B0387"/>
    <x v="233"/>
    <s v="2025-11-09"/>
    <s v="2025-11-13"/>
    <x v="0"/>
    <x v="1"/>
    <x v="0"/>
    <x v="0"/>
    <x v="2"/>
    <n v="2500"/>
    <n v="4"/>
    <n v="10000"/>
    <s v="Occupied"/>
    <x v="2"/>
    <s v="No"/>
    <x v="1"/>
  </r>
  <r>
    <s v="B0388"/>
    <x v="99"/>
    <s v="2025-02-02"/>
    <s v="2025-02-05"/>
    <x v="4"/>
    <x v="4"/>
    <x v="2"/>
    <x v="1"/>
    <x v="3"/>
    <n v="9000"/>
    <n v="3"/>
    <n v="27000"/>
    <s v="Occupied"/>
    <x v="1"/>
    <s v="No"/>
    <x v="8"/>
  </r>
  <r>
    <s v="B0389"/>
    <x v="234"/>
    <s v="2025-06-15"/>
    <s v="2025-06-18"/>
    <x v="0"/>
    <x v="3"/>
    <x v="2"/>
    <x v="0"/>
    <x v="2"/>
    <n v="5500"/>
    <n v="3"/>
    <n v="16500"/>
    <s v="Cancelled"/>
    <x v="4"/>
    <s v="Yes"/>
    <x v="2"/>
  </r>
  <r>
    <s v="B0390"/>
    <x v="235"/>
    <s v="2025-06-23"/>
    <s v="2025-06-29"/>
    <x v="0"/>
    <x v="2"/>
    <x v="1"/>
    <x v="2"/>
    <x v="2"/>
    <n v="5500"/>
    <n v="6"/>
    <n v="33000"/>
    <s v="Occupied"/>
    <x v="0"/>
    <s v="No"/>
    <x v="2"/>
  </r>
  <r>
    <s v="B0391"/>
    <x v="236"/>
    <s v="2025-10-20"/>
    <s v="2025-10-23"/>
    <x v="3"/>
    <x v="4"/>
    <x v="0"/>
    <x v="0"/>
    <x v="2"/>
    <n v="2500"/>
    <n v="3"/>
    <n v="7500"/>
    <s v="Occupied"/>
    <x v="0"/>
    <s v="No"/>
    <x v="10"/>
  </r>
  <r>
    <s v="B0392"/>
    <x v="237"/>
    <s v="2025-04-05"/>
    <s v="2025-04-12"/>
    <x v="0"/>
    <x v="3"/>
    <x v="1"/>
    <x v="1"/>
    <x v="1"/>
    <n v="7000"/>
    <n v="7"/>
    <n v="49000"/>
    <s v="Cancelled"/>
    <x v="4"/>
    <s v="Yes"/>
    <x v="7"/>
  </r>
  <r>
    <s v="B0393"/>
    <x v="238"/>
    <s v="2025-02-01"/>
    <s v="2025-02-02"/>
    <x v="2"/>
    <x v="2"/>
    <x v="0"/>
    <x v="2"/>
    <x v="0"/>
    <n v="4500"/>
    <n v="1"/>
    <n v="4500"/>
    <s v="Occupied"/>
    <x v="2"/>
    <s v="No"/>
    <x v="8"/>
  </r>
  <r>
    <s v="B0394"/>
    <x v="120"/>
    <s v="2025-12-16"/>
    <s v="2025-12-18"/>
    <x v="0"/>
    <x v="2"/>
    <x v="0"/>
    <x v="0"/>
    <x v="3"/>
    <n v="4500"/>
    <n v="2"/>
    <n v="9000"/>
    <s v="Occupied"/>
    <x v="2"/>
    <s v="No"/>
    <x v="4"/>
  </r>
  <r>
    <s v="B0395"/>
    <x v="4"/>
    <s v="2025-07-02"/>
    <s v="2025-07-09"/>
    <x v="3"/>
    <x v="4"/>
    <x v="1"/>
    <x v="2"/>
    <x v="0"/>
    <n v="4500"/>
    <n v="7"/>
    <n v="31500"/>
    <s v="Occupied"/>
    <x v="1"/>
    <s v="No"/>
    <x v="2"/>
  </r>
  <r>
    <s v="B0396"/>
    <x v="239"/>
    <s v="2025-04-22"/>
    <s v="2025-04-27"/>
    <x v="0"/>
    <x v="4"/>
    <x v="0"/>
    <x v="2"/>
    <x v="0"/>
    <n v="3500"/>
    <n v="5"/>
    <n v="17500"/>
    <s v="Cancelled"/>
    <x v="3"/>
    <s v="Yes"/>
    <x v="7"/>
  </r>
  <r>
    <s v="B0397"/>
    <x v="13"/>
    <s v="2025-12-17"/>
    <s v="2025-12-21"/>
    <x v="3"/>
    <x v="3"/>
    <x v="2"/>
    <x v="0"/>
    <x v="3"/>
    <n v="3500"/>
    <n v="4"/>
    <n v="14000"/>
    <s v="Occupied"/>
    <x v="1"/>
    <s v="No"/>
    <x v="4"/>
  </r>
  <r>
    <s v="B0398"/>
    <x v="187"/>
    <s v="2026-01-23"/>
    <s v="2026-01-29"/>
    <x v="2"/>
    <x v="2"/>
    <x v="2"/>
    <x v="1"/>
    <x v="2"/>
    <n v="4500"/>
    <n v="6"/>
    <n v="27000"/>
    <s v="Occupied"/>
    <x v="2"/>
    <s v="No"/>
    <x v="4"/>
  </r>
  <r>
    <s v="B0399"/>
    <x v="71"/>
    <s v="2025-06-26"/>
    <s v="2025-07-01"/>
    <x v="3"/>
    <x v="1"/>
    <x v="0"/>
    <x v="2"/>
    <x v="3"/>
    <n v="7000"/>
    <n v="5"/>
    <n v="35000"/>
    <s v="Occupied"/>
    <x v="0"/>
    <s v="No"/>
    <x v="2"/>
  </r>
  <r>
    <s v="B0400"/>
    <x v="56"/>
    <s v="2025-06-24"/>
    <s v="2025-06-25"/>
    <x v="2"/>
    <x v="4"/>
    <x v="2"/>
    <x v="0"/>
    <x v="3"/>
    <n v="5500"/>
    <n v="1"/>
    <n v="5500"/>
    <s v="Occupied"/>
    <x v="2"/>
    <s v="No"/>
    <x v="2"/>
  </r>
  <r>
    <s v="B0401"/>
    <x v="240"/>
    <s v="2025-04-12"/>
    <s v="2025-04-17"/>
    <x v="2"/>
    <x v="3"/>
    <x v="0"/>
    <x v="1"/>
    <x v="2"/>
    <n v="3500"/>
    <n v="5"/>
    <n v="17500"/>
    <s v="Cancelled"/>
    <x v="2"/>
    <s v="Yes"/>
    <x v="9"/>
  </r>
  <r>
    <s v="B0402"/>
    <x v="180"/>
    <s v="2025-06-10"/>
    <s v="2025-06-14"/>
    <x v="1"/>
    <x v="1"/>
    <x v="1"/>
    <x v="2"/>
    <x v="1"/>
    <n v="5500"/>
    <n v="4"/>
    <n v="22000"/>
    <s v="Occupied"/>
    <x v="0"/>
    <s v="No"/>
    <x v="2"/>
  </r>
  <r>
    <s v="B0403"/>
    <x v="241"/>
    <s v="2026-01-05"/>
    <s v="2026-01-11"/>
    <x v="1"/>
    <x v="4"/>
    <x v="1"/>
    <x v="0"/>
    <x v="1"/>
    <n v="5500"/>
    <n v="6"/>
    <n v="33000"/>
    <s v="Cancelled"/>
    <x v="0"/>
    <s v="Yes"/>
    <x v="4"/>
  </r>
  <r>
    <s v="B0404"/>
    <x v="68"/>
    <s v="2025-06-04"/>
    <s v="2025-06-08"/>
    <x v="1"/>
    <x v="3"/>
    <x v="0"/>
    <x v="2"/>
    <x v="0"/>
    <n v="3500"/>
    <n v="4"/>
    <n v="14000"/>
    <s v="Occupied"/>
    <x v="1"/>
    <s v="No"/>
    <x v="11"/>
  </r>
  <r>
    <s v="B0405"/>
    <x v="222"/>
    <s v="2025-05-06"/>
    <s v="2025-05-08"/>
    <x v="2"/>
    <x v="4"/>
    <x v="2"/>
    <x v="0"/>
    <x v="3"/>
    <n v="9000"/>
    <n v="2"/>
    <n v="18000"/>
    <s v="Cancelled"/>
    <x v="2"/>
    <s v="Yes"/>
    <x v="9"/>
  </r>
  <r>
    <s v="B0406"/>
    <x v="66"/>
    <s v="2025-09-23"/>
    <s v="2025-09-24"/>
    <x v="1"/>
    <x v="1"/>
    <x v="0"/>
    <x v="1"/>
    <x v="2"/>
    <n v="5500"/>
    <n v="1"/>
    <n v="5500"/>
    <s v="Occupied"/>
    <x v="1"/>
    <s v="No"/>
    <x v="5"/>
  </r>
  <r>
    <s v="B0407"/>
    <x v="242"/>
    <s v="2025-04-27"/>
    <s v="2025-04-28"/>
    <x v="4"/>
    <x v="0"/>
    <x v="1"/>
    <x v="1"/>
    <x v="1"/>
    <n v="9000"/>
    <n v="1"/>
    <n v="9000"/>
    <s v="Occupied"/>
    <x v="2"/>
    <s v="No"/>
    <x v="9"/>
  </r>
  <r>
    <s v="B0408"/>
    <x v="33"/>
    <s v="2025-07-09"/>
    <s v="2025-07-14"/>
    <x v="0"/>
    <x v="0"/>
    <x v="2"/>
    <x v="2"/>
    <x v="1"/>
    <n v="5500"/>
    <n v="5"/>
    <n v="27500"/>
    <s v="Occupied"/>
    <x v="1"/>
    <s v="No"/>
    <x v="2"/>
  </r>
  <r>
    <s v="B0409"/>
    <x v="139"/>
    <s v="2025-07-01"/>
    <s v="2025-07-02"/>
    <x v="0"/>
    <x v="1"/>
    <x v="1"/>
    <x v="2"/>
    <x v="0"/>
    <n v="2500"/>
    <n v="1"/>
    <n v="2500"/>
    <s v="Occupied"/>
    <x v="0"/>
    <s v="No"/>
    <x v="2"/>
  </r>
  <r>
    <s v="B0410"/>
    <x v="144"/>
    <s v="2025-03-28"/>
    <s v="2025-04-01"/>
    <x v="4"/>
    <x v="2"/>
    <x v="1"/>
    <x v="1"/>
    <x v="1"/>
    <n v="9000"/>
    <n v="4"/>
    <n v="36000"/>
    <s v="Occupied"/>
    <x v="2"/>
    <s v="No"/>
    <x v="7"/>
  </r>
  <r>
    <s v="B0411"/>
    <x v="183"/>
    <s v="2025-07-12"/>
    <s v="2025-07-15"/>
    <x v="3"/>
    <x v="3"/>
    <x v="1"/>
    <x v="0"/>
    <x v="3"/>
    <n v="7000"/>
    <n v="3"/>
    <n v="21000"/>
    <s v="Occupied"/>
    <x v="1"/>
    <s v="No"/>
    <x v="6"/>
  </r>
  <r>
    <s v="B0412"/>
    <x v="62"/>
    <s v="2025-06-14"/>
    <s v="2025-06-15"/>
    <x v="0"/>
    <x v="0"/>
    <x v="1"/>
    <x v="2"/>
    <x v="3"/>
    <n v="5500"/>
    <n v="1"/>
    <n v="5500"/>
    <s v="Occupied"/>
    <x v="2"/>
    <s v="No"/>
    <x v="2"/>
  </r>
  <r>
    <s v="B0413"/>
    <x v="206"/>
    <s v="2025-09-15"/>
    <s v="2025-09-20"/>
    <x v="0"/>
    <x v="4"/>
    <x v="2"/>
    <x v="2"/>
    <x v="1"/>
    <n v="7000"/>
    <n v="5"/>
    <n v="35000"/>
    <s v="Occupied"/>
    <x v="2"/>
    <s v="No"/>
    <x v="5"/>
  </r>
  <r>
    <s v="B0414"/>
    <x v="202"/>
    <s v="2025-04-25"/>
    <s v="2025-05-02"/>
    <x v="0"/>
    <x v="3"/>
    <x v="0"/>
    <x v="1"/>
    <x v="1"/>
    <n v="5500"/>
    <n v="7"/>
    <n v="38500"/>
    <s v="Occupied"/>
    <x v="0"/>
    <s v="No"/>
    <x v="7"/>
  </r>
  <r>
    <s v="B0415"/>
    <x v="243"/>
    <s v="2025-03-17"/>
    <s v="2025-03-23"/>
    <x v="2"/>
    <x v="1"/>
    <x v="0"/>
    <x v="1"/>
    <x v="0"/>
    <n v="9000"/>
    <n v="6"/>
    <n v="54000"/>
    <s v="Occupied"/>
    <x v="2"/>
    <s v="No"/>
    <x v="7"/>
  </r>
  <r>
    <s v="B0416"/>
    <x v="64"/>
    <s v="2025-12-09"/>
    <s v="2025-12-15"/>
    <x v="4"/>
    <x v="2"/>
    <x v="2"/>
    <x v="1"/>
    <x v="3"/>
    <n v="2500"/>
    <n v="6"/>
    <n v="15000"/>
    <s v="Occupied"/>
    <x v="0"/>
    <s v="No"/>
    <x v="4"/>
  </r>
  <r>
    <s v="B0417"/>
    <x v="22"/>
    <s v="2025-09-23"/>
    <s v="2025-09-25"/>
    <x v="3"/>
    <x v="4"/>
    <x v="2"/>
    <x v="0"/>
    <x v="0"/>
    <n v="3500"/>
    <n v="2"/>
    <n v="7000"/>
    <s v="Occupied"/>
    <x v="1"/>
    <s v="No"/>
    <x v="5"/>
  </r>
  <r>
    <s v="B0418"/>
    <x v="32"/>
    <s v="2025-12-23"/>
    <s v="2025-12-26"/>
    <x v="4"/>
    <x v="0"/>
    <x v="0"/>
    <x v="0"/>
    <x v="0"/>
    <n v="7000"/>
    <n v="3"/>
    <n v="21000"/>
    <s v="Occupied"/>
    <x v="0"/>
    <s v="No"/>
    <x v="4"/>
  </r>
  <r>
    <s v="B0419"/>
    <x v="150"/>
    <s v="2025-05-29"/>
    <s v="2025-06-05"/>
    <x v="0"/>
    <x v="4"/>
    <x v="0"/>
    <x v="1"/>
    <x v="3"/>
    <n v="2500"/>
    <n v="7"/>
    <n v="17500"/>
    <s v="Occupied"/>
    <x v="1"/>
    <s v="No"/>
    <x v="11"/>
  </r>
  <r>
    <s v="B0420"/>
    <x v="244"/>
    <s v="2026-01-10"/>
    <s v="2026-01-13"/>
    <x v="0"/>
    <x v="2"/>
    <x v="2"/>
    <x v="1"/>
    <x v="0"/>
    <n v="3500"/>
    <n v="3"/>
    <n v="10500"/>
    <s v="Occupied"/>
    <x v="2"/>
    <s v="No"/>
    <x v="4"/>
  </r>
  <r>
    <s v="B0421"/>
    <x v="184"/>
    <s v="2025-01-29"/>
    <s v="2025-01-30"/>
    <x v="4"/>
    <x v="3"/>
    <x v="1"/>
    <x v="0"/>
    <x v="0"/>
    <n v="2500"/>
    <n v="1"/>
    <n v="2500"/>
    <s v="Occupied"/>
    <x v="1"/>
    <s v="No"/>
    <x v="8"/>
  </r>
  <r>
    <s v="B0422"/>
    <x v="162"/>
    <s v="2025-03-22"/>
    <s v="2025-03-25"/>
    <x v="2"/>
    <x v="2"/>
    <x v="1"/>
    <x v="1"/>
    <x v="1"/>
    <n v="9000"/>
    <n v="3"/>
    <n v="27000"/>
    <s v="Occupied"/>
    <x v="2"/>
    <s v="No"/>
    <x v="3"/>
  </r>
  <r>
    <s v="B0423"/>
    <x v="245"/>
    <s v="2025-02-18"/>
    <s v="2025-02-21"/>
    <x v="4"/>
    <x v="0"/>
    <x v="1"/>
    <x v="1"/>
    <x v="0"/>
    <n v="4500"/>
    <n v="3"/>
    <n v="13500"/>
    <s v="Occupied"/>
    <x v="2"/>
    <s v="No"/>
    <x v="8"/>
  </r>
  <r>
    <s v="B0424"/>
    <x v="246"/>
    <s v="2025-04-03"/>
    <s v="2025-04-09"/>
    <x v="1"/>
    <x v="4"/>
    <x v="0"/>
    <x v="1"/>
    <x v="3"/>
    <n v="3500"/>
    <n v="6"/>
    <n v="21000"/>
    <s v="Occupied"/>
    <x v="2"/>
    <s v="No"/>
    <x v="7"/>
  </r>
  <r>
    <s v="B0425"/>
    <x v="33"/>
    <s v="2025-07-01"/>
    <s v="2025-07-02"/>
    <x v="2"/>
    <x v="2"/>
    <x v="0"/>
    <x v="2"/>
    <x v="2"/>
    <n v="5500"/>
    <n v="1"/>
    <n v="5500"/>
    <s v="Occupied"/>
    <x v="2"/>
    <s v="No"/>
    <x v="2"/>
  </r>
  <r>
    <s v="B0426"/>
    <x v="2"/>
    <s v="2025-12-28"/>
    <s v="2026-01-04"/>
    <x v="3"/>
    <x v="3"/>
    <x v="1"/>
    <x v="2"/>
    <x v="2"/>
    <n v="3500"/>
    <n v="7"/>
    <n v="24500"/>
    <s v="Occupied"/>
    <x v="1"/>
    <s v="No"/>
    <x v="0"/>
  </r>
  <r>
    <s v="B0427"/>
    <x v="247"/>
    <s v="2025-11-10"/>
    <s v="2025-11-14"/>
    <x v="1"/>
    <x v="0"/>
    <x v="0"/>
    <x v="0"/>
    <x v="1"/>
    <n v="3500"/>
    <n v="4"/>
    <n v="14000"/>
    <s v="Occupied"/>
    <x v="2"/>
    <s v="No"/>
    <x v="1"/>
  </r>
  <r>
    <s v="B0428"/>
    <x v="248"/>
    <s v="2025-10-05"/>
    <s v="2025-10-09"/>
    <x v="3"/>
    <x v="0"/>
    <x v="2"/>
    <x v="0"/>
    <x v="3"/>
    <n v="2500"/>
    <n v="4"/>
    <n v="10000"/>
    <s v="Cancelled"/>
    <x v="2"/>
    <s v="Yes"/>
    <x v="10"/>
  </r>
  <r>
    <s v="B0429"/>
    <x v="184"/>
    <s v="2025-01-30"/>
    <s v="2025-02-06"/>
    <x v="1"/>
    <x v="1"/>
    <x v="1"/>
    <x v="0"/>
    <x v="3"/>
    <n v="9000"/>
    <n v="7"/>
    <n v="63000"/>
    <s v="Occupied"/>
    <x v="1"/>
    <s v="No"/>
    <x v="8"/>
  </r>
  <r>
    <s v="B0430"/>
    <x v="82"/>
    <s v="2025-10-10"/>
    <s v="2025-10-16"/>
    <x v="0"/>
    <x v="2"/>
    <x v="2"/>
    <x v="0"/>
    <x v="2"/>
    <n v="9000"/>
    <n v="6"/>
    <n v="54000"/>
    <s v="Occupied"/>
    <x v="2"/>
    <s v="No"/>
    <x v="10"/>
  </r>
  <r>
    <s v="B0431"/>
    <x v="217"/>
    <s v="2025-04-14"/>
    <s v="2025-04-21"/>
    <x v="3"/>
    <x v="3"/>
    <x v="0"/>
    <x v="2"/>
    <x v="2"/>
    <n v="7000"/>
    <n v="7"/>
    <n v="49000"/>
    <s v="Cancelled"/>
    <x v="4"/>
    <s v="Yes"/>
    <x v="7"/>
  </r>
  <r>
    <s v="B0432"/>
    <x v="202"/>
    <s v="2025-03-29"/>
    <s v="2025-04-05"/>
    <x v="2"/>
    <x v="0"/>
    <x v="0"/>
    <x v="1"/>
    <x v="2"/>
    <n v="5500"/>
    <n v="7"/>
    <n v="38500"/>
    <s v="Occupied"/>
    <x v="2"/>
    <s v="No"/>
    <x v="7"/>
  </r>
  <r>
    <s v="B0433"/>
    <x v="249"/>
    <s v="2025-08-22"/>
    <s v="2025-08-24"/>
    <x v="4"/>
    <x v="0"/>
    <x v="2"/>
    <x v="2"/>
    <x v="3"/>
    <n v="2500"/>
    <n v="2"/>
    <n v="5000"/>
    <s v="Occupied"/>
    <x v="1"/>
    <s v="No"/>
    <x v="6"/>
  </r>
  <r>
    <s v="B0434"/>
    <x v="201"/>
    <s v="2025-03-18"/>
    <s v="2025-03-24"/>
    <x v="4"/>
    <x v="0"/>
    <x v="0"/>
    <x v="0"/>
    <x v="0"/>
    <n v="9000"/>
    <n v="6"/>
    <n v="54000"/>
    <s v="Occupied"/>
    <x v="2"/>
    <s v="No"/>
    <x v="7"/>
  </r>
  <r>
    <s v="B0435"/>
    <x v="168"/>
    <s v="2025-03-14"/>
    <s v="2025-03-19"/>
    <x v="1"/>
    <x v="3"/>
    <x v="0"/>
    <x v="0"/>
    <x v="2"/>
    <n v="7000"/>
    <n v="5"/>
    <n v="35000"/>
    <s v="Occupied"/>
    <x v="1"/>
    <s v="No"/>
    <x v="3"/>
  </r>
  <r>
    <s v="B0436"/>
    <x v="3"/>
    <s v="2025-07-06"/>
    <s v="2025-07-13"/>
    <x v="2"/>
    <x v="1"/>
    <x v="0"/>
    <x v="0"/>
    <x v="2"/>
    <n v="2500"/>
    <n v="7"/>
    <n v="17500"/>
    <s v="Occupied"/>
    <x v="2"/>
    <s v="No"/>
    <x v="2"/>
  </r>
  <r>
    <s v="B0437"/>
    <x v="250"/>
    <s v="2025-12-15"/>
    <s v="2025-12-21"/>
    <x v="0"/>
    <x v="0"/>
    <x v="2"/>
    <x v="2"/>
    <x v="3"/>
    <n v="5500"/>
    <n v="6"/>
    <n v="33000"/>
    <s v="Occupied"/>
    <x v="1"/>
    <s v="No"/>
    <x v="4"/>
  </r>
  <r>
    <s v="B0438"/>
    <x v="230"/>
    <s v="2025-10-25"/>
    <s v="2025-10-28"/>
    <x v="4"/>
    <x v="3"/>
    <x v="0"/>
    <x v="0"/>
    <x v="2"/>
    <n v="9000"/>
    <n v="3"/>
    <n v="27000"/>
    <s v="Occupied"/>
    <x v="0"/>
    <s v="No"/>
    <x v="1"/>
  </r>
  <r>
    <s v="B0439"/>
    <x v="190"/>
    <s v="2025-03-05"/>
    <s v="2025-03-10"/>
    <x v="0"/>
    <x v="2"/>
    <x v="1"/>
    <x v="0"/>
    <x v="3"/>
    <n v="3500"/>
    <n v="5"/>
    <n v="17500"/>
    <s v="Occupied"/>
    <x v="2"/>
    <s v="No"/>
    <x v="3"/>
  </r>
  <r>
    <s v="B0440"/>
    <x v="42"/>
    <s v="2025-03-22"/>
    <s v="2025-03-26"/>
    <x v="4"/>
    <x v="2"/>
    <x v="0"/>
    <x v="0"/>
    <x v="1"/>
    <n v="2500"/>
    <n v="4"/>
    <n v="10000"/>
    <s v="Cancelled"/>
    <x v="4"/>
    <s v="Yes"/>
    <x v="3"/>
  </r>
  <r>
    <s v="B0441"/>
    <x v="251"/>
    <s v="2025-09-14"/>
    <s v="2025-09-19"/>
    <x v="1"/>
    <x v="2"/>
    <x v="0"/>
    <x v="1"/>
    <x v="1"/>
    <n v="9000"/>
    <n v="5"/>
    <n v="45000"/>
    <s v="Occupied"/>
    <x v="2"/>
    <s v="No"/>
    <x v="10"/>
  </r>
  <r>
    <s v="B0442"/>
    <x v="152"/>
    <s v="2025-03-11"/>
    <s v="2025-03-15"/>
    <x v="1"/>
    <x v="2"/>
    <x v="2"/>
    <x v="0"/>
    <x v="1"/>
    <n v="9000"/>
    <n v="4"/>
    <n v="36000"/>
    <s v="Occupied"/>
    <x v="2"/>
    <s v="No"/>
    <x v="7"/>
  </r>
  <r>
    <s v="B0443"/>
    <x v="252"/>
    <s v="2025-06-03"/>
    <s v="2025-06-06"/>
    <x v="0"/>
    <x v="2"/>
    <x v="0"/>
    <x v="0"/>
    <x v="3"/>
    <n v="4500"/>
    <n v="3"/>
    <n v="13500"/>
    <s v="Occupied"/>
    <x v="0"/>
    <s v="No"/>
    <x v="11"/>
  </r>
  <r>
    <s v="B0444"/>
    <x v="227"/>
    <s v="2026-01-13"/>
    <s v="2026-01-20"/>
    <x v="0"/>
    <x v="3"/>
    <x v="1"/>
    <x v="0"/>
    <x v="3"/>
    <n v="4500"/>
    <n v="7"/>
    <n v="31500"/>
    <s v="Occupied"/>
    <x v="1"/>
    <s v="No"/>
    <x v="4"/>
  </r>
  <r>
    <s v="B0445"/>
    <x v="241"/>
    <s v="2025-12-30"/>
    <s v="2026-01-05"/>
    <x v="1"/>
    <x v="1"/>
    <x v="0"/>
    <x v="0"/>
    <x v="3"/>
    <n v="3500"/>
    <n v="6"/>
    <n v="21000"/>
    <s v="Cancelled"/>
    <x v="3"/>
    <s v="Yes"/>
    <x v="4"/>
  </r>
  <r>
    <s v="B0446"/>
    <x v="115"/>
    <s v="2026-01-03"/>
    <s v="2026-01-10"/>
    <x v="1"/>
    <x v="2"/>
    <x v="0"/>
    <x v="0"/>
    <x v="3"/>
    <n v="4500"/>
    <n v="7"/>
    <n v="31500"/>
    <s v="Occupied"/>
    <x v="1"/>
    <s v="No"/>
    <x v="4"/>
  </r>
  <r>
    <s v="B0447"/>
    <x v="211"/>
    <s v="2025-08-31"/>
    <s v="2025-09-01"/>
    <x v="0"/>
    <x v="0"/>
    <x v="0"/>
    <x v="1"/>
    <x v="1"/>
    <n v="7000"/>
    <n v="1"/>
    <n v="7000"/>
    <s v="Occupied"/>
    <x v="2"/>
    <s v="No"/>
    <x v="5"/>
  </r>
  <r>
    <s v="B0448"/>
    <x v="253"/>
    <s v="2025-06-11"/>
    <s v="2025-06-18"/>
    <x v="0"/>
    <x v="0"/>
    <x v="0"/>
    <x v="2"/>
    <x v="1"/>
    <n v="3500"/>
    <n v="7"/>
    <n v="24500"/>
    <s v="Cancelled"/>
    <x v="0"/>
    <s v="Yes"/>
    <x v="11"/>
  </r>
  <r>
    <s v="B0449"/>
    <x v="254"/>
    <s v="2025-10-07"/>
    <s v="2025-10-10"/>
    <x v="1"/>
    <x v="3"/>
    <x v="0"/>
    <x v="0"/>
    <x v="2"/>
    <n v="5500"/>
    <n v="3"/>
    <n v="16500"/>
    <s v="Occupied"/>
    <x v="1"/>
    <s v="No"/>
    <x v="1"/>
  </r>
  <r>
    <s v="B0450"/>
    <x v="255"/>
    <s v="2025-05-19"/>
    <s v="2025-05-26"/>
    <x v="3"/>
    <x v="2"/>
    <x v="2"/>
    <x v="2"/>
    <x v="3"/>
    <n v="9000"/>
    <n v="7"/>
    <n v="63000"/>
    <s v="Occupied"/>
    <x v="1"/>
    <s v="No"/>
    <x v="11"/>
  </r>
  <r>
    <s v="B0451"/>
    <x v="83"/>
    <s v="2025-10-12"/>
    <s v="2025-10-13"/>
    <x v="4"/>
    <x v="3"/>
    <x v="0"/>
    <x v="0"/>
    <x v="3"/>
    <n v="9000"/>
    <n v="1"/>
    <n v="9000"/>
    <s v="Occupied"/>
    <x v="1"/>
    <s v="No"/>
    <x v="1"/>
  </r>
  <r>
    <s v="B0452"/>
    <x v="20"/>
    <s v="2025-11-16"/>
    <s v="2025-11-22"/>
    <x v="0"/>
    <x v="4"/>
    <x v="2"/>
    <x v="1"/>
    <x v="0"/>
    <n v="7000"/>
    <n v="6"/>
    <n v="42000"/>
    <s v="Occupied"/>
    <x v="1"/>
    <s v="No"/>
    <x v="1"/>
  </r>
  <r>
    <s v="B0453"/>
    <x v="163"/>
    <s v="2025-04-12"/>
    <s v="2025-04-18"/>
    <x v="4"/>
    <x v="4"/>
    <x v="0"/>
    <x v="2"/>
    <x v="1"/>
    <n v="7000"/>
    <n v="6"/>
    <n v="42000"/>
    <s v="Occupied"/>
    <x v="0"/>
    <s v="No"/>
    <x v="9"/>
  </r>
  <r>
    <s v="B0454"/>
    <x v="256"/>
    <s v="2025-04-12"/>
    <s v="2025-04-19"/>
    <x v="0"/>
    <x v="0"/>
    <x v="1"/>
    <x v="2"/>
    <x v="0"/>
    <n v="4500"/>
    <n v="7"/>
    <n v="31500"/>
    <s v="Occupied"/>
    <x v="2"/>
    <s v="No"/>
    <x v="7"/>
  </r>
  <r>
    <s v="B0455"/>
    <x v="76"/>
    <s v="2025-12-07"/>
    <s v="2025-12-14"/>
    <x v="1"/>
    <x v="4"/>
    <x v="1"/>
    <x v="0"/>
    <x v="3"/>
    <n v="9000"/>
    <n v="7"/>
    <n v="63000"/>
    <s v="Occupied"/>
    <x v="1"/>
    <s v="No"/>
    <x v="0"/>
  </r>
  <r>
    <s v="B0456"/>
    <x v="167"/>
    <s v="2025-10-05"/>
    <s v="2025-10-07"/>
    <x v="0"/>
    <x v="2"/>
    <x v="0"/>
    <x v="0"/>
    <x v="2"/>
    <n v="7000"/>
    <n v="2"/>
    <n v="14000"/>
    <s v="Occupied"/>
    <x v="1"/>
    <s v="No"/>
    <x v="10"/>
  </r>
  <r>
    <s v="B0457"/>
    <x v="48"/>
    <s v="2025-03-01"/>
    <s v="2025-03-03"/>
    <x v="2"/>
    <x v="4"/>
    <x v="1"/>
    <x v="0"/>
    <x v="2"/>
    <n v="3500"/>
    <n v="2"/>
    <n v="7000"/>
    <s v="Occupied"/>
    <x v="2"/>
    <s v="No"/>
    <x v="3"/>
  </r>
  <r>
    <s v="B0458"/>
    <x v="35"/>
    <s v="2025-11-11"/>
    <s v="2025-11-18"/>
    <x v="2"/>
    <x v="2"/>
    <x v="1"/>
    <x v="0"/>
    <x v="1"/>
    <n v="9000"/>
    <n v="7"/>
    <n v="63000"/>
    <s v="Occupied"/>
    <x v="1"/>
    <s v="No"/>
    <x v="1"/>
  </r>
  <r>
    <s v="B0459"/>
    <x v="245"/>
    <s v="2025-02-12"/>
    <s v="2025-02-15"/>
    <x v="4"/>
    <x v="4"/>
    <x v="0"/>
    <x v="0"/>
    <x v="3"/>
    <n v="5500"/>
    <n v="3"/>
    <n v="16500"/>
    <s v="Cancelled"/>
    <x v="4"/>
    <s v="Yes"/>
    <x v="8"/>
  </r>
  <r>
    <s v="B0460"/>
    <x v="257"/>
    <s v="2025-02-12"/>
    <s v="2025-02-17"/>
    <x v="4"/>
    <x v="2"/>
    <x v="1"/>
    <x v="2"/>
    <x v="1"/>
    <n v="4500"/>
    <n v="5"/>
    <n v="22500"/>
    <s v="Occupied"/>
    <x v="1"/>
    <s v="No"/>
    <x v="8"/>
  </r>
  <r>
    <s v="B0461"/>
    <x v="235"/>
    <s v="2025-07-01"/>
    <s v="2025-07-02"/>
    <x v="1"/>
    <x v="0"/>
    <x v="0"/>
    <x v="1"/>
    <x v="1"/>
    <n v="2500"/>
    <n v="1"/>
    <n v="2500"/>
    <s v="Occupied"/>
    <x v="1"/>
    <s v="No"/>
    <x v="2"/>
  </r>
  <r>
    <s v="B0462"/>
    <x v="7"/>
    <s v="2025-12-31"/>
    <s v="2026-01-07"/>
    <x v="3"/>
    <x v="3"/>
    <x v="0"/>
    <x v="0"/>
    <x v="2"/>
    <n v="3500"/>
    <n v="7"/>
    <n v="24500"/>
    <s v="Cancelled"/>
    <x v="2"/>
    <s v="Yes"/>
    <x v="4"/>
  </r>
  <r>
    <s v="B0463"/>
    <x v="224"/>
    <s v="2025-12-25"/>
    <s v="2025-12-26"/>
    <x v="4"/>
    <x v="4"/>
    <x v="1"/>
    <x v="1"/>
    <x v="0"/>
    <n v="9000"/>
    <n v="1"/>
    <n v="9000"/>
    <s v="Occupied"/>
    <x v="0"/>
    <s v="No"/>
    <x v="0"/>
  </r>
  <r>
    <s v="B0464"/>
    <x v="23"/>
    <s v="2025-02-03"/>
    <s v="2025-02-10"/>
    <x v="0"/>
    <x v="4"/>
    <x v="2"/>
    <x v="2"/>
    <x v="2"/>
    <n v="4500"/>
    <n v="7"/>
    <n v="31500"/>
    <s v="Occupied"/>
    <x v="1"/>
    <s v="No"/>
    <x v="8"/>
  </r>
  <r>
    <s v="B0465"/>
    <x v="258"/>
    <s v="2025-12-02"/>
    <s v="2025-12-06"/>
    <x v="3"/>
    <x v="1"/>
    <x v="1"/>
    <x v="0"/>
    <x v="0"/>
    <n v="4500"/>
    <n v="4"/>
    <n v="18000"/>
    <s v="Occupied"/>
    <x v="1"/>
    <s v="No"/>
    <x v="0"/>
  </r>
  <r>
    <s v="B0466"/>
    <x v="97"/>
    <s v="2025-10-29"/>
    <s v="2025-11-04"/>
    <x v="3"/>
    <x v="4"/>
    <x v="0"/>
    <x v="2"/>
    <x v="0"/>
    <n v="2500"/>
    <n v="6"/>
    <n v="15000"/>
    <s v="Occupied"/>
    <x v="1"/>
    <s v="No"/>
    <x v="1"/>
  </r>
  <r>
    <s v="B0467"/>
    <x v="150"/>
    <s v="2025-06-19"/>
    <s v="2025-06-23"/>
    <x v="3"/>
    <x v="2"/>
    <x v="1"/>
    <x v="0"/>
    <x v="1"/>
    <n v="5500"/>
    <n v="4"/>
    <n v="22000"/>
    <s v="Occupied"/>
    <x v="1"/>
    <s v="No"/>
    <x v="11"/>
  </r>
  <r>
    <s v="B0468"/>
    <x v="237"/>
    <s v="2025-04-04"/>
    <s v="2025-04-08"/>
    <x v="0"/>
    <x v="4"/>
    <x v="0"/>
    <x v="0"/>
    <x v="3"/>
    <n v="7000"/>
    <n v="4"/>
    <n v="28000"/>
    <s v="Occupied"/>
    <x v="1"/>
    <s v="No"/>
    <x v="7"/>
  </r>
  <r>
    <s v="B0469"/>
    <x v="259"/>
    <s v="2025-01-24"/>
    <s v="2025-01-31"/>
    <x v="3"/>
    <x v="1"/>
    <x v="0"/>
    <x v="2"/>
    <x v="0"/>
    <n v="7000"/>
    <n v="7"/>
    <n v="49000"/>
    <s v="Occupied"/>
    <x v="0"/>
    <s v="No"/>
    <x v="8"/>
  </r>
  <r>
    <s v="B0470"/>
    <x v="74"/>
    <s v="2025-06-13"/>
    <s v="2025-06-19"/>
    <x v="0"/>
    <x v="2"/>
    <x v="0"/>
    <x v="0"/>
    <x v="1"/>
    <n v="9000"/>
    <n v="6"/>
    <n v="54000"/>
    <s v="Cancelled"/>
    <x v="0"/>
    <s v="Yes"/>
    <x v="2"/>
  </r>
  <r>
    <s v="B0471"/>
    <x v="256"/>
    <s v="2025-03-30"/>
    <s v="2025-04-01"/>
    <x v="3"/>
    <x v="3"/>
    <x v="0"/>
    <x v="0"/>
    <x v="0"/>
    <n v="7000"/>
    <n v="2"/>
    <n v="14000"/>
    <s v="Occupied"/>
    <x v="0"/>
    <s v="No"/>
    <x v="7"/>
  </r>
  <r>
    <s v="B0472"/>
    <x v="260"/>
    <s v="2025-10-24"/>
    <s v="2025-10-30"/>
    <x v="3"/>
    <x v="4"/>
    <x v="1"/>
    <x v="1"/>
    <x v="2"/>
    <n v="7000"/>
    <n v="6"/>
    <n v="42000"/>
    <s v="Occupied"/>
    <x v="1"/>
    <s v="No"/>
    <x v="1"/>
  </r>
  <r>
    <s v="B0473"/>
    <x v="164"/>
    <s v="2025-07-01"/>
    <s v="2025-07-03"/>
    <x v="2"/>
    <x v="1"/>
    <x v="1"/>
    <x v="1"/>
    <x v="3"/>
    <n v="9000"/>
    <n v="2"/>
    <n v="18000"/>
    <s v="Occupied"/>
    <x v="0"/>
    <s v="No"/>
    <x v="2"/>
  </r>
  <r>
    <s v="B0474"/>
    <x v="197"/>
    <s v="2025-09-21"/>
    <s v="2025-09-24"/>
    <x v="1"/>
    <x v="3"/>
    <x v="0"/>
    <x v="0"/>
    <x v="3"/>
    <n v="7000"/>
    <n v="3"/>
    <n v="21000"/>
    <s v="Occupied"/>
    <x v="1"/>
    <s v="No"/>
    <x v="10"/>
  </r>
  <r>
    <s v="B0475"/>
    <x v="261"/>
    <s v="2025-06-25"/>
    <s v="2025-06-27"/>
    <x v="4"/>
    <x v="4"/>
    <x v="2"/>
    <x v="1"/>
    <x v="3"/>
    <n v="2500"/>
    <n v="2"/>
    <n v="5000"/>
    <s v="Occupied"/>
    <x v="0"/>
    <s v="No"/>
    <x v="2"/>
  </r>
  <r>
    <s v="B0476"/>
    <x v="160"/>
    <s v="2025-09-18"/>
    <s v="2025-09-22"/>
    <x v="1"/>
    <x v="0"/>
    <x v="1"/>
    <x v="0"/>
    <x v="0"/>
    <n v="4500"/>
    <n v="4"/>
    <n v="18000"/>
    <s v="Occupied"/>
    <x v="2"/>
    <s v="No"/>
    <x v="10"/>
  </r>
  <r>
    <s v="B0477"/>
    <x v="191"/>
    <s v="2025-06-21"/>
    <s v="2025-06-28"/>
    <x v="2"/>
    <x v="0"/>
    <x v="0"/>
    <x v="1"/>
    <x v="0"/>
    <n v="3500"/>
    <n v="7"/>
    <n v="24500"/>
    <s v="Cancelled"/>
    <x v="3"/>
    <s v="Yes"/>
    <x v="11"/>
  </r>
  <r>
    <s v="B0478"/>
    <x v="262"/>
    <s v="2025-10-08"/>
    <s v="2025-10-09"/>
    <x v="0"/>
    <x v="0"/>
    <x v="0"/>
    <x v="2"/>
    <x v="2"/>
    <n v="7000"/>
    <n v="1"/>
    <n v="7000"/>
    <s v="Occupied"/>
    <x v="1"/>
    <s v="No"/>
    <x v="10"/>
  </r>
  <r>
    <s v="B0479"/>
    <x v="200"/>
    <s v="2025-12-26"/>
    <s v="2025-12-28"/>
    <x v="2"/>
    <x v="3"/>
    <x v="2"/>
    <x v="0"/>
    <x v="0"/>
    <n v="4500"/>
    <n v="2"/>
    <n v="9000"/>
    <s v="Occupied"/>
    <x v="1"/>
    <s v="No"/>
    <x v="4"/>
  </r>
  <r>
    <s v="B0480"/>
    <x v="114"/>
    <s v="2025-08-04"/>
    <s v="2025-08-09"/>
    <x v="0"/>
    <x v="1"/>
    <x v="1"/>
    <x v="2"/>
    <x v="1"/>
    <n v="2500"/>
    <n v="5"/>
    <n v="12500"/>
    <s v="Occupied"/>
    <x v="1"/>
    <s v="No"/>
    <x v="6"/>
  </r>
  <r>
    <s v="B0481"/>
    <x v="38"/>
    <s v="2025-04-21"/>
    <s v="2025-04-26"/>
    <x v="4"/>
    <x v="4"/>
    <x v="1"/>
    <x v="1"/>
    <x v="2"/>
    <n v="9000"/>
    <n v="5"/>
    <n v="45000"/>
    <s v="Cancelled"/>
    <x v="3"/>
    <s v="Yes"/>
    <x v="9"/>
  </r>
  <r>
    <s v="B0482"/>
    <x v="263"/>
    <s v="2025-05-02"/>
    <s v="2025-05-05"/>
    <x v="0"/>
    <x v="1"/>
    <x v="2"/>
    <x v="2"/>
    <x v="2"/>
    <n v="4500"/>
    <n v="3"/>
    <n v="13500"/>
    <s v="Occupied"/>
    <x v="1"/>
    <s v="No"/>
    <x v="9"/>
  </r>
  <r>
    <s v="B0483"/>
    <x v="264"/>
    <s v="2025-09-19"/>
    <s v="2025-09-20"/>
    <x v="3"/>
    <x v="1"/>
    <x v="0"/>
    <x v="2"/>
    <x v="3"/>
    <n v="2500"/>
    <n v="1"/>
    <n v="2500"/>
    <s v="Cancelled"/>
    <x v="0"/>
    <s v="Yes"/>
    <x v="5"/>
  </r>
  <r>
    <s v="B0484"/>
    <x v="265"/>
    <s v="2025-11-11"/>
    <s v="2025-11-16"/>
    <x v="2"/>
    <x v="1"/>
    <x v="0"/>
    <x v="1"/>
    <x v="3"/>
    <n v="3500"/>
    <n v="5"/>
    <n v="17500"/>
    <s v="Occupied"/>
    <x v="2"/>
    <s v="No"/>
    <x v="1"/>
  </r>
  <r>
    <s v="B0485"/>
    <x v="112"/>
    <s v="2025-08-11"/>
    <s v="2025-08-13"/>
    <x v="4"/>
    <x v="2"/>
    <x v="0"/>
    <x v="1"/>
    <x v="1"/>
    <n v="7000"/>
    <n v="2"/>
    <n v="14000"/>
    <s v="Occupied"/>
    <x v="2"/>
    <s v="No"/>
    <x v="6"/>
  </r>
  <r>
    <s v="B0486"/>
    <x v="266"/>
    <s v="2025-08-20"/>
    <s v="2025-08-22"/>
    <x v="0"/>
    <x v="3"/>
    <x v="1"/>
    <x v="1"/>
    <x v="3"/>
    <n v="2500"/>
    <n v="2"/>
    <n v="5000"/>
    <s v="Occupied"/>
    <x v="2"/>
    <s v="No"/>
    <x v="5"/>
  </r>
  <r>
    <s v="B0487"/>
    <x v="119"/>
    <s v="2025-11-28"/>
    <s v="2025-12-05"/>
    <x v="2"/>
    <x v="0"/>
    <x v="2"/>
    <x v="0"/>
    <x v="2"/>
    <n v="2500"/>
    <n v="7"/>
    <n v="17500"/>
    <s v="Occupied"/>
    <x v="2"/>
    <s v="No"/>
    <x v="0"/>
  </r>
  <r>
    <s v="B0488"/>
    <x v="160"/>
    <s v="2025-09-10"/>
    <s v="2025-09-15"/>
    <x v="3"/>
    <x v="3"/>
    <x v="1"/>
    <x v="1"/>
    <x v="1"/>
    <n v="3500"/>
    <n v="5"/>
    <n v="17500"/>
    <s v="Occupied"/>
    <x v="2"/>
    <s v="No"/>
    <x v="10"/>
  </r>
  <r>
    <s v="B0489"/>
    <x v="267"/>
    <s v="2025-03-31"/>
    <s v="2025-04-05"/>
    <x v="3"/>
    <x v="3"/>
    <x v="2"/>
    <x v="1"/>
    <x v="2"/>
    <n v="2500"/>
    <n v="5"/>
    <n v="12500"/>
    <s v="Cancelled"/>
    <x v="3"/>
    <s v="Yes"/>
    <x v="7"/>
  </r>
  <r>
    <s v="B0490"/>
    <x v="268"/>
    <s v="2025-11-22"/>
    <s v="2025-11-28"/>
    <x v="3"/>
    <x v="3"/>
    <x v="2"/>
    <x v="0"/>
    <x v="2"/>
    <n v="2500"/>
    <n v="6"/>
    <n v="15000"/>
    <s v="Cancelled"/>
    <x v="0"/>
    <s v="Yes"/>
    <x v="0"/>
  </r>
  <r>
    <s v="B0491"/>
    <x v="95"/>
    <s v="2025-09-10"/>
    <s v="2025-09-12"/>
    <x v="0"/>
    <x v="1"/>
    <x v="0"/>
    <x v="0"/>
    <x v="3"/>
    <n v="5500"/>
    <n v="2"/>
    <n v="11000"/>
    <s v="Occupied"/>
    <x v="1"/>
    <s v="No"/>
    <x v="10"/>
  </r>
  <r>
    <s v="B0492"/>
    <x v="136"/>
    <s v="2025-04-20"/>
    <s v="2025-04-26"/>
    <x v="0"/>
    <x v="2"/>
    <x v="2"/>
    <x v="1"/>
    <x v="0"/>
    <n v="4500"/>
    <n v="6"/>
    <n v="27000"/>
    <s v="Cancelled"/>
    <x v="4"/>
    <s v="Yes"/>
    <x v="7"/>
  </r>
  <r>
    <s v="B0493"/>
    <x v="269"/>
    <s v="2025-01-16"/>
    <s v="2025-01-21"/>
    <x v="1"/>
    <x v="0"/>
    <x v="1"/>
    <x v="2"/>
    <x v="0"/>
    <n v="7000"/>
    <n v="5"/>
    <n v="35000"/>
    <s v="Occupied"/>
    <x v="0"/>
    <s v="No"/>
    <x v="8"/>
  </r>
  <r>
    <s v="B0494"/>
    <x v="270"/>
    <s v="2025-10-17"/>
    <s v="2025-10-24"/>
    <x v="0"/>
    <x v="1"/>
    <x v="0"/>
    <x v="1"/>
    <x v="2"/>
    <n v="2500"/>
    <n v="7"/>
    <n v="17500"/>
    <s v="Occupied"/>
    <x v="1"/>
    <s v="No"/>
    <x v="10"/>
  </r>
  <r>
    <s v="B0495"/>
    <x v="213"/>
    <s v="2025-10-09"/>
    <s v="2025-10-12"/>
    <x v="0"/>
    <x v="2"/>
    <x v="2"/>
    <x v="2"/>
    <x v="0"/>
    <n v="2500"/>
    <n v="3"/>
    <n v="7500"/>
    <s v="Occupied"/>
    <x v="2"/>
    <s v="No"/>
    <x v="10"/>
  </r>
  <r>
    <s v="B0496"/>
    <x v="69"/>
    <s v="2025-08-11"/>
    <s v="2025-08-14"/>
    <x v="2"/>
    <x v="1"/>
    <x v="0"/>
    <x v="2"/>
    <x v="3"/>
    <n v="5500"/>
    <n v="3"/>
    <n v="16500"/>
    <s v="Occupied"/>
    <x v="0"/>
    <s v="No"/>
    <x v="5"/>
  </r>
  <r>
    <s v="B0497"/>
    <x v="240"/>
    <s v="2025-04-08"/>
    <s v="2025-04-14"/>
    <x v="1"/>
    <x v="0"/>
    <x v="0"/>
    <x v="1"/>
    <x v="2"/>
    <n v="9000"/>
    <n v="6"/>
    <n v="54000"/>
    <s v="Occupied"/>
    <x v="1"/>
    <s v="No"/>
    <x v="9"/>
  </r>
  <r>
    <s v="B0498"/>
    <x v="204"/>
    <s v="2025-12-09"/>
    <s v="2025-12-15"/>
    <x v="0"/>
    <x v="2"/>
    <x v="0"/>
    <x v="0"/>
    <x v="3"/>
    <n v="4500"/>
    <n v="6"/>
    <n v="27000"/>
    <s v="Occupied"/>
    <x v="0"/>
    <s v="No"/>
    <x v="4"/>
  </r>
  <r>
    <s v="B0499"/>
    <x v="59"/>
    <s v="2025-06-11"/>
    <s v="2025-06-16"/>
    <x v="2"/>
    <x v="2"/>
    <x v="1"/>
    <x v="2"/>
    <x v="2"/>
    <n v="5500"/>
    <n v="5"/>
    <n v="27500"/>
    <s v="Occupied"/>
    <x v="1"/>
    <s v="No"/>
    <x v="11"/>
  </r>
  <r>
    <s v="B0500"/>
    <x v="38"/>
    <s v="2025-04-14"/>
    <s v="2025-04-19"/>
    <x v="1"/>
    <x v="4"/>
    <x v="0"/>
    <x v="2"/>
    <x v="1"/>
    <n v="7000"/>
    <n v="5"/>
    <n v="35000"/>
    <s v="Occupied"/>
    <x v="2"/>
    <s v="No"/>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B0001"/>
    <s v="2025-11-24"/>
    <s v="2025-11-28"/>
    <s v="2025-11-29"/>
    <x v="0"/>
    <x v="0"/>
    <s v="Suite"/>
    <s v="Family"/>
    <s v="Online"/>
    <n v="9000"/>
    <n v="1"/>
    <n v="9000"/>
    <s v="Occupied"/>
    <n v="3"/>
    <s v="No"/>
  </r>
  <r>
    <s v="B0002"/>
    <s v="2025-10-30"/>
    <s v="2025-11-13"/>
    <s v="2025-11-14"/>
    <x v="1"/>
    <x v="1"/>
    <s v="Standard"/>
    <s v="Family"/>
    <s v="Travel Agent"/>
    <n v="2500"/>
    <n v="1"/>
    <n v="2500"/>
    <s v="Occupied"/>
    <n v="3"/>
    <s v="No"/>
  </r>
  <r>
    <s v="B0003"/>
    <s v="2025-11-29"/>
    <s v="2025-12-22"/>
    <s v="2025-12-27"/>
    <x v="2"/>
    <x v="0"/>
    <s v="Standard"/>
    <s v="Family"/>
    <s v="Walk-in"/>
    <n v="5500"/>
    <n v="5"/>
    <n v="27500"/>
    <s v="Occupied"/>
    <n v="5"/>
    <s v="No"/>
  </r>
  <r>
    <s v="B0004"/>
    <s v="2025-06-24"/>
    <s v="2025-07-03"/>
    <s v="2025-07-05"/>
    <x v="3"/>
    <x v="0"/>
    <s v="Deluxe"/>
    <s v="Business"/>
    <s v="Corporate"/>
    <n v="3500"/>
    <n v="2"/>
    <n v="7000"/>
    <s v="Cancelled"/>
    <n v="3"/>
    <s v="Yes"/>
  </r>
  <r>
    <s v="B0005"/>
    <s v="2025-06-26"/>
    <s v="2025-07-16"/>
    <s v="2025-07-19"/>
    <x v="3"/>
    <x v="2"/>
    <s v="Standard"/>
    <s v="Family"/>
    <s v="Corporate"/>
    <n v="2500"/>
    <n v="3"/>
    <n v="7500"/>
    <s v="Occupied"/>
    <n v="5"/>
    <s v="No"/>
  </r>
  <r>
    <s v="B0006"/>
    <s v="2025-11-18"/>
    <s v="2025-12-08"/>
    <s v="2025-12-15"/>
    <x v="3"/>
    <x v="0"/>
    <s v="Suite"/>
    <s v="Business"/>
    <s v="Corporate"/>
    <n v="4500"/>
    <n v="7"/>
    <n v="31500"/>
    <s v="Occupied"/>
    <n v="5"/>
    <s v="No"/>
  </r>
  <r>
    <s v="B0007"/>
    <s v="2025-02-10"/>
    <s v="2025-03-10"/>
    <s v="2025-03-12"/>
    <x v="2"/>
    <x v="3"/>
    <s v="Deluxe"/>
    <s v="Leisure"/>
    <s v="Travel Agent"/>
    <n v="2500"/>
    <n v="2"/>
    <n v="5000"/>
    <s v="Occupied"/>
    <n v="4"/>
    <s v="No"/>
  </r>
  <r>
    <s v="B0008"/>
    <s v="2025-12-10"/>
    <s v="2025-12-19"/>
    <s v="2025-12-25"/>
    <x v="0"/>
    <x v="1"/>
    <s v="Suite"/>
    <s v="Business"/>
    <s v="Travel Agent"/>
    <n v="9000"/>
    <n v="6"/>
    <n v="54000"/>
    <s v="Occupied"/>
    <n v="5"/>
    <s v="No"/>
  </r>
  <r>
    <s v="B0009"/>
    <s v="2025-08-25"/>
    <s v="2025-09-07"/>
    <s v="2025-09-10"/>
    <x v="2"/>
    <x v="0"/>
    <s v="Standard"/>
    <s v="Business"/>
    <s v="Corporate"/>
    <n v="9000"/>
    <n v="3"/>
    <n v="27000"/>
    <s v="Occupied"/>
    <n v="3"/>
    <s v="No"/>
  </r>
  <r>
    <s v="B0010"/>
    <s v="2025-07-25"/>
    <s v="2025-08-03"/>
    <s v="2025-08-04"/>
    <x v="0"/>
    <x v="2"/>
    <s v="Deluxe"/>
    <s v="Family"/>
    <s v="Walk-in"/>
    <n v="3500"/>
    <n v="1"/>
    <n v="3500"/>
    <s v="Cancelled"/>
    <n v="3"/>
    <s v="Yes"/>
  </r>
  <r>
    <s v="B0011"/>
    <s v="2025-03-15"/>
    <s v="2025-03-24"/>
    <s v="2025-03-26"/>
    <x v="2"/>
    <x v="1"/>
    <s v="Deluxe"/>
    <s v="Family"/>
    <s v="Walk-in"/>
    <n v="3500"/>
    <n v="2"/>
    <n v="7000"/>
    <s v="Occupied"/>
    <n v="5"/>
    <s v="No"/>
  </r>
  <r>
    <s v="B0012"/>
    <s v="2025-07-05"/>
    <s v="2025-07-13"/>
    <s v="2025-07-15"/>
    <x v="3"/>
    <x v="3"/>
    <s v="Suite"/>
    <s v="Business"/>
    <s v="Walk-in"/>
    <n v="7000"/>
    <n v="2"/>
    <n v="14000"/>
    <s v="Occupied"/>
    <n v="3"/>
    <s v="No"/>
  </r>
  <r>
    <s v="B0013"/>
    <s v="2025-11-02"/>
    <s v="2025-11-05"/>
    <s v="2025-11-09"/>
    <x v="1"/>
    <x v="4"/>
    <s v="Suite"/>
    <s v="Business"/>
    <s v="Online"/>
    <n v="5500"/>
    <n v="4"/>
    <n v="22000"/>
    <s v="Occupied"/>
    <n v="4"/>
    <s v="No"/>
  </r>
  <r>
    <s v="B0014"/>
    <s v="2025-12-16"/>
    <s v="2026-01-14"/>
    <s v="2026-01-19"/>
    <x v="3"/>
    <x v="4"/>
    <s v="Deluxe"/>
    <s v="Business"/>
    <s v="Walk-in"/>
    <n v="4500"/>
    <n v="5"/>
    <n v="22500"/>
    <s v="Occupied"/>
    <n v="4"/>
    <s v="No"/>
  </r>
  <r>
    <s v="B0015"/>
    <s v="2025-01-02"/>
    <s v="2025-01-26"/>
    <s v="2025-02-01"/>
    <x v="1"/>
    <x v="0"/>
    <s v="Suite"/>
    <s v="Leisure"/>
    <s v="Travel Agent"/>
    <n v="4500"/>
    <n v="6"/>
    <n v="27000"/>
    <s v="Cancelled"/>
    <n v="2"/>
    <s v="Yes"/>
  </r>
  <r>
    <s v="B0016"/>
    <s v="2025-03-20"/>
    <s v="2025-04-01"/>
    <s v="2025-04-08"/>
    <x v="3"/>
    <x v="1"/>
    <s v="Deluxe"/>
    <s v="Leisure"/>
    <s v="Online"/>
    <n v="3500"/>
    <n v="7"/>
    <n v="24500"/>
    <s v="Occupied"/>
    <n v="5"/>
    <s v="No"/>
  </r>
  <r>
    <s v="B0017"/>
    <s v="2025-02-27"/>
    <s v="2025-03-29"/>
    <s v="2025-04-01"/>
    <x v="1"/>
    <x v="0"/>
    <s v="Standard"/>
    <s v="Family"/>
    <s v="Walk-in"/>
    <n v="4500"/>
    <n v="3"/>
    <n v="13500"/>
    <s v="Occupied"/>
    <n v="3"/>
    <s v="No"/>
  </r>
  <r>
    <s v="B0018"/>
    <s v="2025-02-05"/>
    <s v="2025-03-02"/>
    <s v="2025-03-07"/>
    <x v="1"/>
    <x v="3"/>
    <s v="Deluxe"/>
    <s v="Family"/>
    <s v="Walk-in"/>
    <n v="3500"/>
    <n v="5"/>
    <n v="17500"/>
    <s v="Occupied"/>
    <n v="4"/>
    <s v="No"/>
  </r>
  <r>
    <s v="B0019"/>
    <s v="2025-04-19"/>
    <s v="2025-05-19"/>
    <s v="2025-05-24"/>
    <x v="2"/>
    <x v="2"/>
    <s v="Suite"/>
    <s v="Family"/>
    <s v="Corporate"/>
    <n v="9000"/>
    <n v="5"/>
    <n v="45000"/>
    <s v="Occupied"/>
    <n v="5"/>
    <s v="No"/>
  </r>
  <r>
    <s v="B0020"/>
    <s v="2025-08-13"/>
    <s v="2025-09-11"/>
    <s v="2025-09-16"/>
    <x v="3"/>
    <x v="4"/>
    <s v="Standard"/>
    <s v="Family"/>
    <s v="Travel Agent"/>
    <n v="5500"/>
    <n v="5"/>
    <n v="27500"/>
    <s v="Occupied"/>
    <n v="3"/>
    <s v="No"/>
  </r>
  <r>
    <s v="B0021"/>
    <s v="2025-10-29"/>
    <s v="2025-11-06"/>
    <s v="2025-11-07"/>
    <x v="0"/>
    <x v="0"/>
    <s v="Standard"/>
    <s v="Leisure"/>
    <s v="Online"/>
    <n v="2500"/>
    <n v="1"/>
    <n v="2500"/>
    <s v="Occupied"/>
    <n v="3"/>
    <s v="No"/>
  </r>
  <r>
    <s v="B0022"/>
    <s v="2025-09-21"/>
    <s v="2025-09-29"/>
    <s v="2025-10-02"/>
    <x v="0"/>
    <x v="1"/>
    <s v="Suite"/>
    <s v="Leisure"/>
    <s v="Travel Agent"/>
    <n v="9000"/>
    <n v="3"/>
    <n v="27000"/>
    <s v="Occupied"/>
    <n v="5"/>
    <s v="No"/>
  </r>
  <r>
    <s v="B0023"/>
    <s v="2025-08-31"/>
    <s v="2025-09-26"/>
    <s v="2025-09-30"/>
    <x v="4"/>
    <x v="4"/>
    <s v="Deluxe"/>
    <s v="Leisure"/>
    <s v="Walk-in"/>
    <n v="3500"/>
    <n v="4"/>
    <n v="14000"/>
    <s v="Occupied"/>
    <n v="5"/>
    <s v="No"/>
  </r>
  <r>
    <s v="B0024"/>
    <s v="2025-01-28"/>
    <s v="2025-02-19"/>
    <s v="2025-02-25"/>
    <x v="2"/>
    <x v="0"/>
    <s v="Standard"/>
    <s v="Business"/>
    <s v="Travel Agent"/>
    <n v="9000"/>
    <n v="6"/>
    <n v="54000"/>
    <s v="Occupied"/>
    <n v="4"/>
    <s v="No"/>
  </r>
  <r>
    <s v="B0025"/>
    <s v="2025-10-02"/>
    <s v="2025-10-17"/>
    <s v="2025-10-19"/>
    <x v="0"/>
    <x v="0"/>
    <s v="Deluxe"/>
    <s v="Family"/>
    <s v="Online"/>
    <n v="5500"/>
    <n v="2"/>
    <n v="11000"/>
    <s v="Occupied"/>
    <n v="4"/>
    <s v="No"/>
  </r>
  <r>
    <s v="B0026"/>
    <s v="2025-01-26"/>
    <s v="2025-02-16"/>
    <s v="2025-02-21"/>
    <x v="0"/>
    <x v="2"/>
    <s v="Deluxe"/>
    <s v="Leisure"/>
    <s v="Travel Agent"/>
    <n v="2500"/>
    <n v="5"/>
    <n v="12500"/>
    <s v="Cancelled"/>
    <n v="2"/>
    <s v="Yes"/>
  </r>
  <r>
    <s v="B0027"/>
    <s v="2025-07-25"/>
    <s v="2025-08-23"/>
    <s v="2025-08-24"/>
    <x v="2"/>
    <x v="2"/>
    <s v="Deluxe"/>
    <s v="Leisure"/>
    <s v="Walk-in"/>
    <n v="3500"/>
    <n v="1"/>
    <n v="3500"/>
    <s v="Occupied"/>
    <n v="4"/>
    <s v="No"/>
  </r>
  <r>
    <s v="B0028"/>
    <s v="2025-03-21"/>
    <s v="2025-03-28"/>
    <s v="2025-03-31"/>
    <x v="2"/>
    <x v="0"/>
    <s v="Standard"/>
    <s v="Family"/>
    <s v="Walk-in"/>
    <n v="3500"/>
    <n v="3"/>
    <n v="10500"/>
    <s v="Cancelled"/>
    <n v="1"/>
    <s v="Yes"/>
  </r>
  <r>
    <s v="B0029"/>
    <s v="2025-09-15"/>
    <s v="2025-10-15"/>
    <s v="2025-10-22"/>
    <x v="3"/>
    <x v="3"/>
    <s v="Standard"/>
    <s v="Family"/>
    <s v="Online"/>
    <n v="7000"/>
    <n v="7"/>
    <n v="49000"/>
    <s v="Occupied"/>
    <n v="5"/>
    <s v="No"/>
  </r>
  <r>
    <s v="B0030"/>
    <s v="2025-12-12"/>
    <s v="2026-01-09"/>
    <s v="2026-01-11"/>
    <x v="0"/>
    <x v="1"/>
    <s v="Suite"/>
    <s v="Business"/>
    <s v="Online"/>
    <n v="5500"/>
    <n v="2"/>
    <n v="11000"/>
    <s v="Occupied"/>
    <n v="5"/>
    <s v="No"/>
  </r>
  <r>
    <s v="B0031"/>
    <s v="2025-08-03"/>
    <s v="2025-08-25"/>
    <s v="2025-08-30"/>
    <x v="0"/>
    <x v="4"/>
    <s v="Standard"/>
    <s v="Leisure"/>
    <s v="Walk-in"/>
    <n v="7000"/>
    <n v="5"/>
    <n v="35000"/>
    <s v="Occupied"/>
    <n v="4"/>
    <s v="No"/>
  </r>
  <r>
    <s v="B0032"/>
    <s v="2025-03-09"/>
    <s v="2025-03-31"/>
    <s v="2025-04-06"/>
    <x v="3"/>
    <x v="2"/>
    <s v="Suite"/>
    <s v="Family"/>
    <s v="Online"/>
    <n v="4500"/>
    <n v="6"/>
    <n v="27000"/>
    <s v="Occupied"/>
    <n v="3"/>
    <s v="No"/>
  </r>
  <r>
    <s v="B0033"/>
    <s v="2025-02-07"/>
    <s v="2025-02-25"/>
    <s v="2025-02-27"/>
    <x v="3"/>
    <x v="3"/>
    <s v="Deluxe"/>
    <s v="Leisure"/>
    <s v="Travel Agent"/>
    <n v="7000"/>
    <n v="2"/>
    <n v="14000"/>
    <s v="Occupied"/>
    <n v="4"/>
    <s v="No"/>
  </r>
  <r>
    <s v="B0034"/>
    <s v="2025-08-13"/>
    <s v="2025-09-09"/>
    <s v="2025-09-14"/>
    <x v="1"/>
    <x v="0"/>
    <s v="Suite"/>
    <s v="Family"/>
    <s v="Corporate"/>
    <n v="9000"/>
    <n v="5"/>
    <n v="45000"/>
    <s v="Occupied"/>
    <n v="5"/>
    <s v="No"/>
  </r>
  <r>
    <s v="B0035"/>
    <s v="2025-12-06"/>
    <s v="2025-12-10"/>
    <s v="2025-12-12"/>
    <x v="1"/>
    <x v="3"/>
    <s v="Deluxe"/>
    <s v="Leisure"/>
    <s v="Travel Agent"/>
    <n v="4500"/>
    <n v="2"/>
    <n v="9000"/>
    <s v="Occupied"/>
    <n v="3"/>
    <s v="No"/>
  </r>
  <r>
    <s v="B0036"/>
    <s v="2025-06-25"/>
    <s v="2025-07-02"/>
    <s v="2025-07-08"/>
    <x v="2"/>
    <x v="0"/>
    <s v="Standard"/>
    <s v="Family"/>
    <s v="Walk-in"/>
    <n v="9000"/>
    <n v="6"/>
    <n v="54000"/>
    <s v="Cancelled"/>
    <n v="4"/>
    <s v="Yes"/>
  </r>
  <r>
    <s v="B0037"/>
    <s v="2025-05-22"/>
    <s v="2025-05-24"/>
    <s v="2025-05-25"/>
    <x v="2"/>
    <x v="3"/>
    <s v="Suite"/>
    <s v="Leisure"/>
    <s v="Walk-in"/>
    <n v="4500"/>
    <n v="1"/>
    <n v="4500"/>
    <s v="Occupied"/>
    <n v="5"/>
    <s v="No"/>
  </r>
  <r>
    <s v="B0038"/>
    <s v="2025-10-15"/>
    <s v="2025-10-16"/>
    <s v="2025-10-17"/>
    <x v="1"/>
    <x v="0"/>
    <s v="Deluxe"/>
    <s v="Family"/>
    <s v="Travel Agent"/>
    <n v="2500"/>
    <n v="1"/>
    <n v="2500"/>
    <s v="Cancelled"/>
    <n v="2"/>
    <s v="Yes"/>
  </r>
  <r>
    <s v="B0039"/>
    <s v="2025-08-09"/>
    <s v="2025-08-14"/>
    <s v="2025-08-15"/>
    <x v="2"/>
    <x v="3"/>
    <s v="Suite"/>
    <s v="Business"/>
    <s v="Online"/>
    <n v="4500"/>
    <n v="1"/>
    <n v="4500"/>
    <s v="Occupied"/>
    <n v="3"/>
    <s v="No"/>
  </r>
  <r>
    <s v="B0040"/>
    <s v="2025-07-01"/>
    <s v="2025-07-26"/>
    <s v="2025-07-31"/>
    <x v="0"/>
    <x v="3"/>
    <s v="Standard"/>
    <s v="Leisure"/>
    <s v="Online"/>
    <n v="5500"/>
    <n v="5"/>
    <n v="27500"/>
    <s v="Cancelled"/>
    <n v="2"/>
    <s v="Yes"/>
  </r>
  <r>
    <s v="B0041"/>
    <s v="2025-04-02"/>
    <s v="2025-04-26"/>
    <s v="2025-04-29"/>
    <x v="0"/>
    <x v="4"/>
    <s v="Standard"/>
    <s v="Family"/>
    <s v="Online"/>
    <n v="5500"/>
    <n v="3"/>
    <n v="16500"/>
    <s v="Occupied"/>
    <n v="5"/>
    <s v="No"/>
  </r>
  <r>
    <s v="B0042"/>
    <s v="2025-07-15"/>
    <s v="2025-08-12"/>
    <s v="2025-08-13"/>
    <x v="2"/>
    <x v="4"/>
    <s v="Standard"/>
    <s v="Business"/>
    <s v="Online"/>
    <n v="5500"/>
    <n v="1"/>
    <n v="5500"/>
    <s v="Occupied"/>
    <n v="4"/>
    <s v="No"/>
  </r>
  <r>
    <s v="B0043"/>
    <s v="2025-12-04"/>
    <s v="2025-12-11"/>
    <s v="2025-12-15"/>
    <x v="2"/>
    <x v="4"/>
    <s v="Suite"/>
    <s v="Family"/>
    <s v="Walk-in"/>
    <n v="4500"/>
    <n v="4"/>
    <n v="18000"/>
    <s v="Occupied"/>
    <n v="3"/>
    <s v="No"/>
  </r>
  <r>
    <s v="B0044"/>
    <s v="2025-12-14"/>
    <s v="2026-01-10"/>
    <s v="2026-01-15"/>
    <x v="2"/>
    <x v="3"/>
    <s v="Suite"/>
    <s v="Leisure"/>
    <s v="Online"/>
    <n v="4500"/>
    <n v="5"/>
    <n v="22500"/>
    <s v="Cancelled"/>
    <n v="1"/>
    <s v="Yes"/>
  </r>
  <r>
    <s v="B0045"/>
    <s v="2025-02-25"/>
    <s v="2025-03-17"/>
    <s v="2025-03-21"/>
    <x v="4"/>
    <x v="1"/>
    <s v="Suite"/>
    <s v="Business"/>
    <s v="Walk-in"/>
    <n v="4500"/>
    <n v="4"/>
    <n v="18000"/>
    <s v="Occupied"/>
    <n v="4"/>
    <s v="No"/>
  </r>
  <r>
    <s v="B0046"/>
    <s v="2025-10-23"/>
    <s v="2025-10-30"/>
    <s v="2025-11-02"/>
    <x v="1"/>
    <x v="1"/>
    <s v="Suite"/>
    <s v="Family"/>
    <s v="Travel Agent"/>
    <n v="2500"/>
    <n v="3"/>
    <n v="7500"/>
    <s v="Occupied"/>
    <n v="3"/>
    <s v="No"/>
  </r>
  <r>
    <s v="B0047"/>
    <s v="2025-07-06"/>
    <s v="2025-07-20"/>
    <s v="2025-07-21"/>
    <x v="3"/>
    <x v="4"/>
    <s v="Suite"/>
    <s v="Leisure"/>
    <s v="Walk-in"/>
    <n v="9000"/>
    <n v="1"/>
    <n v="9000"/>
    <s v="Cancelled"/>
    <n v="3"/>
    <s v="Yes"/>
  </r>
  <r>
    <s v="B0048"/>
    <s v="2025-06-17"/>
    <s v="2025-06-30"/>
    <s v="2025-07-06"/>
    <x v="4"/>
    <x v="2"/>
    <s v="Suite"/>
    <s v="Family"/>
    <s v="Travel Agent"/>
    <n v="4500"/>
    <n v="6"/>
    <n v="27000"/>
    <s v="Occupied"/>
    <n v="3"/>
    <s v="No"/>
  </r>
  <r>
    <s v="B0049"/>
    <s v="2025-11-12"/>
    <s v="2025-12-01"/>
    <s v="2025-12-04"/>
    <x v="2"/>
    <x v="4"/>
    <s v="Standard"/>
    <s v="Leisure"/>
    <s v="Corporate"/>
    <n v="5500"/>
    <n v="3"/>
    <n v="16500"/>
    <s v="Occupied"/>
    <n v="3"/>
    <s v="No"/>
  </r>
  <r>
    <s v="B0050"/>
    <s v="2025-08-27"/>
    <s v="2025-09-11"/>
    <s v="2025-09-15"/>
    <x v="0"/>
    <x v="0"/>
    <s v="Deluxe"/>
    <s v="Family"/>
    <s v="Corporate"/>
    <n v="9000"/>
    <n v="4"/>
    <n v="36000"/>
    <s v="Occupied"/>
    <n v="4"/>
    <s v="No"/>
  </r>
  <r>
    <s v="B0051"/>
    <s v="2025-02-17"/>
    <s v="2025-03-16"/>
    <s v="2025-03-23"/>
    <x v="0"/>
    <x v="3"/>
    <s v="Standard"/>
    <s v="Business"/>
    <s v="Travel Agent"/>
    <n v="3500"/>
    <n v="7"/>
    <n v="24500"/>
    <s v="Occupied"/>
    <n v="3"/>
    <s v="No"/>
  </r>
  <r>
    <s v="B0052"/>
    <s v="2025-09-01"/>
    <s v="2025-09-21"/>
    <s v="2025-09-28"/>
    <x v="1"/>
    <x v="3"/>
    <s v="Suite"/>
    <s v="Family"/>
    <s v="Walk-in"/>
    <n v="2500"/>
    <n v="7"/>
    <n v="17500"/>
    <s v="Occupied"/>
    <n v="5"/>
    <s v="No"/>
  </r>
  <r>
    <s v="B0053"/>
    <s v="2025-09-11"/>
    <s v="2025-09-24"/>
    <s v="2025-09-26"/>
    <x v="3"/>
    <x v="2"/>
    <s v="Standard"/>
    <s v="Business"/>
    <s v="Walk-in"/>
    <n v="3500"/>
    <n v="2"/>
    <n v="7000"/>
    <s v="Occupied"/>
    <n v="3"/>
    <s v="No"/>
  </r>
  <r>
    <s v="B0054"/>
    <s v="2025-01-26"/>
    <s v="2025-02-13"/>
    <s v="2025-02-15"/>
    <x v="1"/>
    <x v="1"/>
    <s v="Suite"/>
    <s v="Leisure"/>
    <s v="Walk-in"/>
    <n v="2500"/>
    <n v="2"/>
    <n v="5000"/>
    <s v="Occupied"/>
    <n v="4"/>
    <s v="No"/>
  </r>
  <r>
    <s v="B0055"/>
    <s v="2025-11-10"/>
    <s v="2025-12-07"/>
    <s v="2025-12-13"/>
    <x v="4"/>
    <x v="3"/>
    <s v="Suite"/>
    <s v="Leisure"/>
    <s v="Walk-in"/>
    <n v="7000"/>
    <n v="6"/>
    <n v="42000"/>
    <s v="Occupied"/>
    <n v="5"/>
    <s v="No"/>
  </r>
  <r>
    <s v="B0056"/>
    <s v="2025-05-13"/>
    <s v="2025-06-07"/>
    <s v="2025-06-09"/>
    <x v="4"/>
    <x v="3"/>
    <s v="Deluxe"/>
    <s v="Leisure"/>
    <s v="Online"/>
    <n v="9000"/>
    <n v="2"/>
    <n v="18000"/>
    <s v="Occupied"/>
    <n v="5"/>
    <s v="No"/>
  </r>
  <r>
    <s v="B0057"/>
    <s v="2025-05-27"/>
    <s v="2025-06-04"/>
    <s v="2025-06-07"/>
    <x v="3"/>
    <x v="3"/>
    <s v="Standard"/>
    <s v="Business"/>
    <s v="Walk-in"/>
    <n v="4500"/>
    <n v="3"/>
    <n v="13500"/>
    <s v="Occupied"/>
    <n v="5"/>
    <s v="No"/>
  </r>
  <r>
    <s v="B0058"/>
    <s v="2025-12-22"/>
    <s v="2025-12-27"/>
    <s v="2026-01-02"/>
    <x v="2"/>
    <x v="1"/>
    <s v="Deluxe"/>
    <s v="Leisure"/>
    <s v="Online"/>
    <n v="3500"/>
    <n v="6"/>
    <n v="21000"/>
    <s v="Occupied"/>
    <n v="4"/>
    <s v="No"/>
  </r>
  <r>
    <s v="B0059"/>
    <s v="2025-04-16"/>
    <s v="2025-05-13"/>
    <s v="2025-05-17"/>
    <x v="1"/>
    <x v="2"/>
    <s v="Deluxe"/>
    <s v="Business"/>
    <s v="Corporate"/>
    <n v="5500"/>
    <n v="4"/>
    <n v="22000"/>
    <s v="Cancelled"/>
    <n v="1"/>
    <s v="Yes"/>
  </r>
  <r>
    <s v="B0060"/>
    <s v="2025-06-02"/>
    <s v="2025-06-27"/>
    <s v="2025-07-01"/>
    <x v="1"/>
    <x v="1"/>
    <s v="Standard"/>
    <s v="Leisure"/>
    <s v="Travel Agent"/>
    <n v="5500"/>
    <n v="4"/>
    <n v="22000"/>
    <s v="Occupied"/>
    <n v="5"/>
    <s v="No"/>
  </r>
  <r>
    <s v="B0061"/>
    <s v="2025-05-20"/>
    <s v="2025-06-03"/>
    <s v="2025-06-07"/>
    <x v="4"/>
    <x v="3"/>
    <s v="Deluxe"/>
    <s v="Business"/>
    <s v="Online"/>
    <n v="2500"/>
    <n v="4"/>
    <n v="10000"/>
    <s v="Occupied"/>
    <n v="5"/>
    <s v="No"/>
  </r>
  <r>
    <s v="B0062"/>
    <s v="2025-07-21"/>
    <s v="2025-08-09"/>
    <s v="2025-08-14"/>
    <x v="4"/>
    <x v="3"/>
    <s v="Deluxe"/>
    <s v="Business"/>
    <s v="Online"/>
    <n v="9000"/>
    <n v="5"/>
    <n v="45000"/>
    <s v="Occupied"/>
    <n v="5"/>
    <s v="No"/>
  </r>
  <r>
    <s v="B0063"/>
    <s v="2025-05-14"/>
    <s v="2025-05-27"/>
    <s v="2025-05-30"/>
    <x v="4"/>
    <x v="4"/>
    <s v="Deluxe"/>
    <s v="Leisure"/>
    <s v="Online"/>
    <n v="3500"/>
    <n v="3"/>
    <n v="10500"/>
    <s v="Occupied"/>
    <n v="4"/>
    <s v="No"/>
  </r>
  <r>
    <s v="B0064"/>
    <s v="2025-08-29"/>
    <s v="2025-08-30"/>
    <s v="2025-09-05"/>
    <x v="0"/>
    <x v="0"/>
    <s v="Suite"/>
    <s v="Business"/>
    <s v="Online"/>
    <n v="7000"/>
    <n v="6"/>
    <n v="42000"/>
    <s v="Occupied"/>
    <n v="4"/>
    <s v="No"/>
  </r>
  <r>
    <s v="B0065"/>
    <s v="2025-05-07"/>
    <s v="2025-05-14"/>
    <s v="2025-05-21"/>
    <x v="0"/>
    <x v="2"/>
    <s v="Suite"/>
    <s v="Business"/>
    <s v="Travel Agent"/>
    <n v="2500"/>
    <n v="7"/>
    <n v="17500"/>
    <s v="Occupied"/>
    <n v="3"/>
    <s v="No"/>
  </r>
  <r>
    <s v="B0066"/>
    <s v="2025-08-27"/>
    <s v="2025-09-19"/>
    <s v="2025-09-22"/>
    <x v="3"/>
    <x v="3"/>
    <s v="Deluxe"/>
    <s v="Business"/>
    <s v="Online"/>
    <n v="4500"/>
    <n v="3"/>
    <n v="13500"/>
    <s v="Occupied"/>
    <n v="5"/>
    <s v="No"/>
  </r>
  <r>
    <s v="B0067"/>
    <s v="2025-06-09"/>
    <s v="2025-06-28"/>
    <s v="2025-07-04"/>
    <x v="0"/>
    <x v="0"/>
    <s v="Suite"/>
    <s v="Family"/>
    <s v="Travel Agent"/>
    <n v="5500"/>
    <n v="6"/>
    <n v="33000"/>
    <s v="Occupied"/>
    <n v="5"/>
    <s v="No"/>
  </r>
  <r>
    <s v="B0068"/>
    <s v="2025-02-22"/>
    <s v="2025-03-17"/>
    <s v="2025-03-24"/>
    <x v="1"/>
    <x v="0"/>
    <s v="Deluxe"/>
    <s v="Family"/>
    <s v="Walk-in"/>
    <n v="4500"/>
    <n v="7"/>
    <n v="31500"/>
    <s v="Cancelled"/>
    <n v="1"/>
    <s v="Yes"/>
  </r>
  <r>
    <s v="B0069"/>
    <s v="2025-12-05"/>
    <s v="2025-12-17"/>
    <s v="2025-12-18"/>
    <x v="4"/>
    <x v="2"/>
    <s v="Standard"/>
    <s v="Leisure"/>
    <s v="Corporate"/>
    <n v="7000"/>
    <n v="1"/>
    <n v="7000"/>
    <s v="Occupied"/>
    <n v="3"/>
    <s v="No"/>
  </r>
  <r>
    <s v="B0070"/>
    <s v="2025-11-22"/>
    <s v="2025-12-21"/>
    <s v="2025-12-28"/>
    <x v="0"/>
    <x v="1"/>
    <s v="Suite"/>
    <s v="Leisure"/>
    <s v="Walk-in"/>
    <n v="5500"/>
    <n v="7"/>
    <n v="38500"/>
    <s v="Occupied"/>
    <n v="4"/>
    <s v="No"/>
  </r>
  <r>
    <s v="B0071"/>
    <s v="2025-08-27"/>
    <s v="2025-09-10"/>
    <s v="2025-09-17"/>
    <x v="0"/>
    <x v="0"/>
    <s v="Deluxe"/>
    <s v="Leisure"/>
    <s v="Travel Agent"/>
    <n v="9000"/>
    <n v="7"/>
    <n v="63000"/>
    <s v="Occupied"/>
    <n v="4"/>
    <s v="No"/>
  </r>
  <r>
    <s v="B0072"/>
    <s v="2025-08-26"/>
    <s v="2025-09-14"/>
    <s v="2025-09-19"/>
    <x v="4"/>
    <x v="4"/>
    <s v="Standard"/>
    <s v="Leisure"/>
    <s v="Travel Agent"/>
    <n v="9000"/>
    <n v="5"/>
    <n v="45000"/>
    <s v="Occupied"/>
    <n v="3"/>
    <s v="No"/>
  </r>
  <r>
    <s v="B0073"/>
    <s v="2025-07-01"/>
    <s v="2025-07-27"/>
    <s v="2025-07-30"/>
    <x v="2"/>
    <x v="1"/>
    <s v="Standard"/>
    <s v="Family"/>
    <s v="Travel Agent"/>
    <n v="4500"/>
    <n v="3"/>
    <n v="13500"/>
    <s v="Occupied"/>
    <n v="5"/>
    <s v="No"/>
  </r>
  <r>
    <s v="B0074"/>
    <s v="2025-02-13"/>
    <s v="2025-02-21"/>
    <s v="2025-02-27"/>
    <x v="4"/>
    <x v="2"/>
    <s v="Deluxe"/>
    <s v="Business"/>
    <s v="Online"/>
    <n v="5500"/>
    <n v="6"/>
    <n v="33000"/>
    <s v="Occupied"/>
    <n v="3"/>
    <s v="No"/>
  </r>
  <r>
    <s v="B0075"/>
    <s v="2025-05-31"/>
    <s v="2025-06-08"/>
    <s v="2025-06-12"/>
    <x v="1"/>
    <x v="4"/>
    <s v="Deluxe"/>
    <s v="Family"/>
    <s v="Corporate"/>
    <n v="9000"/>
    <n v="4"/>
    <n v="36000"/>
    <s v="Occupied"/>
    <n v="5"/>
    <s v="No"/>
  </r>
  <r>
    <s v="B0076"/>
    <s v="2025-08-06"/>
    <s v="2025-08-30"/>
    <s v="2025-09-04"/>
    <x v="2"/>
    <x v="4"/>
    <s v="Deluxe"/>
    <s v="Business"/>
    <s v="Online"/>
    <n v="4500"/>
    <n v="5"/>
    <n v="22500"/>
    <s v="Occupied"/>
    <n v="4"/>
    <s v="No"/>
  </r>
  <r>
    <s v="B0077"/>
    <s v="2025-04-09"/>
    <s v="2025-04-20"/>
    <s v="2025-04-21"/>
    <x v="0"/>
    <x v="3"/>
    <s v="Standard"/>
    <s v="Family"/>
    <s v="Walk-in"/>
    <n v="9000"/>
    <n v="1"/>
    <n v="9000"/>
    <s v="Occupied"/>
    <n v="5"/>
    <s v="No"/>
  </r>
  <r>
    <s v="B0078"/>
    <s v="2025-05-22"/>
    <s v="2025-06-15"/>
    <s v="2025-06-20"/>
    <x v="0"/>
    <x v="4"/>
    <s v="Standard"/>
    <s v="Leisure"/>
    <s v="Travel Agent"/>
    <n v="7000"/>
    <n v="5"/>
    <n v="35000"/>
    <s v="Occupied"/>
    <n v="3"/>
    <s v="No"/>
  </r>
  <r>
    <s v="B0079"/>
    <s v="2025-06-04"/>
    <s v="2025-06-05"/>
    <s v="2025-06-11"/>
    <x v="3"/>
    <x v="1"/>
    <s v="Deluxe"/>
    <s v="Family"/>
    <s v="Travel Agent"/>
    <n v="7000"/>
    <n v="6"/>
    <n v="42000"/>
    <s v="Occupied"/>
    <n v="3"/>
    <s v="No"/>
  </r>
  <r>
    <s v="B0080"/>
    <s v="2025-11-23"/>
    <s v="2025-12-21"/>
    <s v="2025-12-28"/>
    <x v="1"/>
    <x v="4"/>
    <s v="Deluxe"/>
    <s v="Leisure"/>
    <s v="Walk-in"/>
    <n v="5500"/>
    <n v="7"/>
    <n v="38500"/>
    <s v="Occupied"/>
    <n v="3"/>
    <s v="No"/>
  </r>
  <r>
    <s v="B0081"/>
    <s v="2025-06-24"/>
    <s v="2025-06-30"/>
    <s v="2025-07-01"/>
    <x v="3"/>
    <x v="0"/>
    <s v="Deluxe"/>
    <s v="Leisure"/>
    <s v="Online"/>
    <n v="4500"/>
    <n v="1"/>
    <n v="4500"/>
    <s v="Cancelled"/>
    <n v="4"/>
    <s v="Yes"/>
  </r>
  <r>
    <s v="B0082"/>
    <s v="2025-10-23"/>
    <s v="2025-11-13"/>
    <s v="2025-11-19"/>
    <x v="2"/>
    <x v="0"/>
    <s v="Standard"/>
    <s v="Business"/>
    <s v="Walk-in"/>
    <n v="2500"/>
    <n v="6"/>
    <n v="15000"/>
    <s v="Occupied"/>
    <n v="5"/>
    <s v="No"/>
  </r>
  <r>
    <s v="B0083"/>
    <s v="2025-11-07"/>
    <s v="2025-11-27"/>
    <s v="2025-12-04"/>
    <x v="4"/>
    <x v="2"/>
    <s v="Deluxe"/>
    <s v="Leisure"/>
    <s v="Walk-in"/>
    <n v="7000"/>
    <n v="7"/>
    <n v="49000"/>
    <s v="Occupied"/>
    <n v="5"/>
    <s v="No"/>
  </r>
  <r>
    <s v="B0084"/>
    <s v="2025-06-06"/>
    <s v="2025-06-25"/>
    <s v="2025-06-30"/>
    <x v="3"/>
    <x v="3"/>
    <s v="Suite"/>
    <s v="Business"/>
    <s v="Corporate"/>
    <n v="2500"/>
    <n v="5"/>
    <n v="12500"/>
    <s v="Occupied"/>
    <n v="5"/>
    <s v="No"/>
  </r>
  <r>
    <s v="B0085"/>
    <s v="2025-12-05"/>
    <s v="2025-12-08"/>
    <s v="2025-12-10"/>
    <x v="0"/>
    <x v="0"/>
    <s v="Deluxe"/>
    <s v="Leisure"/>
    <s v="Walk-in"/>
    <n v="3500"/>
    <n v="2"/>
    <n v="7000"/>
    <s v="Occupied"/>
    <n v="3"/>
    <s v="No"/>
  </r>
  <r>
    <s v="B0086"/>
    <s v="2025-05-30"/>
    <s v="2025-06-01"/>
    <s v="2025-06-03"/>
    <x v="4"/>
    <x v="0"/>
    <s v="Suite"/>
    <s v="Business"/>
    <s v="Corporate"/>
    <n v="4500"/>
    <n v="2"/>
    <n v="9000"/>
    <s v="Occupied"/>
    <n v="5"/>
    <s v="No"/>
  </r>
  <r>
    <s v="B0087"/>
    <s v="2025-11-17"/>
    <s v="2025-12-06"/>
    <s v="2025-12-12"/>
    <x v="0"/>
    <x v="3"/>
    <s v="Deluxe"/>
    <s v="Business"/>
    <s v="Online"/>
    <n v="3500"/>
    <n v="6"/>
    <n v="21000"/>
    <s v="Occupied"/>
    <n v="5"/>
    <s v="No"/>
  </r>
  <r>
    <s v="B0088"/>
    <s v="2025-01-31"/>
    <s v="2025-02-06"/>
    <s v="2025-02-13"/>
    <x v="2"/>
    <x v="2"/>
    <s v="Standard"/>
    <s v="Leisure"/>
    <s v="Corporate"/>
    <n v="4500"/>
    <n v="7"/>
    <n v="31500"/>
    <s v="Occupied"/>
    <n v="5"/>
    <s v="No"/>
  </r>
  <r>
    <s v="B0089"/>
    <s v="2025-12-25"/>
    <s v="2026-01-07"/>
    <s v="2026-01-10"/>
    <x v="3"/>
    <x v="1"/>
    <s v="Standard"/>
    <s v="Leisure"/>
    <s v="Corporate"/>
    <n v="7000"/>
    <n v="3"/>
    <n v="21000"/>
    <s v="Occupied"/>
    <n v="4"/>
    <s v="No"/>
  </r>
  <r>
    <s v="B0090"/>
    <s v="2025-11-06"/>
    <s v="2025-11-15"/>
    <s v="2025-11-16"/>
    <x v="1"/>
    <x v="1"/>
    <s v="Standard"/>
    <s v="Family"/>
    <s v="Corporate"/>
    <n v="2500"/>
    <n v="1"/>
    <n v="2500"/>
    <s v="Occupied"/>
    <n v="5"/>
    <s v="No"/>
  </r>
  <r>
    <s v="B0091"/>
    <s v="2025-10-23"/>
    <s v="2025-10-25"/>
    <s v="2025-11-01"/>
    <x v="4"/>
    <x v="4"/>
    <s v="Standard"/>
    <s v="Family"/>
    <s v="Walk-in"/>
    <n v="3500"/>
    <n v="7"/>
    <n v="24500"/>
    <s v="Occupied"/>
    <n v="5"/>
    <s v="No"/>
  </r>
  <r>
    <s v="B0092"/>
    <s v="2025-11-22"/>
    <s v="2025-12-19"/>
    <s v="2025-12-23"/>
    <x v="2"/>
    <x v="4"/>
    <s v="Suite"/>
    <s v="Business"/>
    <s v="Travel Agent"/>
    <n v="2500"/>
    <n v="4"/>
    <n v="10000"/>
    <s v="Occupied"/>
    <n v="4"/>
    <s v="No"/>
  </r>
  <r>
    <s v="B0093"/>
    <s v="2025-06-18"/>
    <s v="2025-07-02"/>
    <s v="2025-07-08"/>
    <x v="1"/>
    <x v="0"/>
    <s v="Deluxe"/>
    <s v="Business"/>
    <s v="Corporate"/>
    <n v="5500"/>
    <n v="6"/>
    <n v="33000"/>
    <s v="Occupied"/>
    <n v="4"/>
    <s v="No"/>
  </r>
  <r>
    <s v="B0094"/>
    <s v="2025-05-10"/>
    <s v="2025-05-21"/>
    <s v="2025-05-22"/>
    <x v="1"/>
    <x v="2"/>
    <s v="Deluxe"/>
    <s v="Business"/>
    <s v="Travel Agent"/>
    <n v="5500"/>
    <n v="1"/>
    <n v="5500"/>
    <s v="Cancelled"/>
    <n v="1"/>
    <s v="Yes"/>
  </r>
  <r>
    <s v="B0095"/>
    <s v="2025-09-23"/>
    <s v="2025-10-05"/>
    <s v="2025-10-10"/>
    <x v="0"/>
    <x v="4"/>
    <s v="Suite"/>
    <s v="Business"/>
    <s v="Corporate"/>
    <n v="5500"/>
    <n v="5"/>
    <n v="27500"/>
    <s v="Occupied"/>
    <n v="3"/>
    <s v="No"/>
  </r>
  <r>
    <s v="B0096"/>
    <s v="2025-08-13"/>
    <s v="2025-09-11"/>
    <s v="2025-09-17"/>
    <x v="1"/>
    <x v="3"/>
    <s v="Suite"/>
    <s v="Business"/>
    <s v="Corporate"/>
    <n v="5500"/>
    <n v="6"/>
    <n v="33000"/>
    <s v="Occupied"/>
    <n v="5"/>
    <s v="No"/>
  </r>
  <r>
    <s v="B0097"/>
    <s v="2025-10-10"/>
    <s v="2025-10-11"/>
    <s v="2025-10-16"/>
    <x v="4"/>
    <x v="0"/>
    <s v="Suite"/>
    <s v="Business"/>
    <s v="Walk-in"/>
    <n v="5500"/>
    <n v="5"/>
    <n v="27500"/>
    <s v="Occupied"/>
    <n v="3"/>
    <s v="No"/>
  </r>
  <r>
    <s v="B0098"/>
    <s v="2025-05-30"/>
    <s v="2025-06-16"/>
    <s v="2025-06-22"/>
    <x v="4"/>
    <x v="3"/>
    <s v="Deluxe"/>
    <s v="Family"/>
    <s v="Travel Agent"/>
    <n v="4500"/>
    <n v="6"/>
    <n v="27000"/>
    <s v="Occupied"/>
    <n v="4"/>
    <s v="No"/>
  </r>
  <r>
    <s v="B0099"/>
    <s v="2025-07-16"/>
    <s v="2025-07-23"/>
    <s v="2025-07-28"/>
    <x v="3"/>
    <x v="4"/>
    <s v="Deluxe"/>
    <s v="Leisure"/>
    <s v="Corporate"/>
    <n v="7000"/>
    <n v="5"/>
    <n v="35000"/>
    <s v="Occupied"/>
    <n v="3"/>
    <s v="No"/>
  </r>
  <r>
    <s v="B0100"/>
    <s v="2025-01-02"/>
    <s v="2025-01-12"/>
    <s v="2025-01-18"/>
    <x v="4"/>
    <x v="3"/>
    <s v="Deluxe"/>
    <s v="Family"/>
    <s v="Walk-in"/>
    <n v="4500"/>
    <n v="6"/>
    <n v="27000"/>
    <s v="Occupied"/>
    <n v="5"/>
    <s v="No"/>
  </r>
  <r>
    <s v="B0101"/>
    <s v="2025-06-26"/>
    <s v="2025-07-07"/>
    <s v="2025-07-12"/>
    <x v="0"/>
    <x v="3"/>
    <s v="Suite"/>
    <s v="Leisure"/>
    <s v="Travel Agent"/>
    <n v="7000"/>
    <n v="5"/>
    <n v="35000"/>
    <s v="Occupied"/>
    <n v="4"/>
    <s v="No"/>
  </r>
  <r>
    <s v="B0102"/>
    <s v="2025-07-30"/>
    <s v="2025-08-01"/>
    <s v="2025-08-04"/>
    <x v="4"/>
    <x v="3"/>
    <s v="Deluxe"/>
    <s v="Business"/>
    <s v="Travel Agent"/>
    <n v="9000"/>
    <n v="3"/>
    <n v="27000"/>
    <s v="Occupied"/>
    <n v="4"/>
    <s v="No"/>
  </r>
  <r>
    <s v="B0103"/>
    <s v="2025-09-15"/>
    <s v="2025-10-04"/>
    <s v="2025-10-07"/>
    <x v="3"/>
    <x v="1"/>
    <s v="Deluxe"/>
    <s v="Business"/>
    <s v="Travel Agent"/>
    <n v="2500"/>
    <n v="3"/>
    <n v="7500"/>
    <s v="Cancelled"/>
    <n v="4"/>
    <s v="Yes"/>
  </r>
  <r>
    <s v="B0104"/>
    <s v="2025-07-29"/>
    <s v="2025-08-26"/>
    <s v="2025-09-01"/>
    <x v="2"/>
    <x v="1"/>
    <s v="Suite"/>
    <s v="Leisure"/>
    <s v="Online"/>
    <n v="3500"/>
    <n v="6"/>
    <n v="21000"/>
    <s v="Occupied"/>
    <n v="4"/>
    <s v="No"/>
  </r>
  <r>
    <s v="B0105"/>
    <s v="2025-06-18"/>
    <s v="2025-07-16"/>
    <s v="2025-07-22"/>
    <x v="4"/>
    <x v="1"/>
    <s v="Standard"/>
    <s v="Family"/>
    <s v="Online"/>
    <n v="7000"/>
    <n v="6"/>
    <n v="42000"/>
    <s v="Occupied"/>
    <n v="4"/>
    <s v="No"/>
  </r>
  <r>
    <s v="B0106"/>
    <s v="2025-05-01"/>
    <s v="2025-05-22"/>
    <s v="2025-05-28"/>
    <x v="4"/>
    <x v="0"/>
    <s v="Suite"/>
    <s v="Family"/>
    <s v="Online"/>
    <n v="4500"/>
    <n v="6"/>
    <n v="27000"/>
    <s v="Cancelled"/>
    <n v="1"/>
    <s v="Yes"/>
  </r>
  <r>
    <s v="B0107"/>
    <s v="2025-08-16"/>
    <s v="2025-08-22"/>
    <s v="2025-08-28"/>
    <x v="2"/>
    <x v="0"/>
    <s v="Deluxe"/>
    <s v="Leisure"/>
    <s v="Corporate"/>
    <n v="4500"/>
    <n v="6"/>
    <n v="27000"/>
    <s v="Cancelled"/>
    <n v="1"/>
    <s v="Yes"/>
  </r>
  <r>
    <s v="B0108"/>
    <s v="2025-08-09"/>
    <s v="2025-08-14"/>
    <s v="2025-08-16"/>
    <x v="0"/>
    <x v="3"/>
    <s v="Standard"/>
    <s v="Business"/>
    <s v="Walk-in"/>
    <n v="7000"/>
    <n v="2"/>
    <n v="14000"/>
    <s v="Occupied"/>
    <n v="5"/>
    <s v="No"/>
  </r>
  <r>
    <s v="B0109"/>
    <s v="2025-11-14"/>
    <s v="2025-12-06"/>
    <s v="2025-12-08"/>
    <x v="0"/>
    <x v="2"/>
    <s v="Suite"/>
    <s v="Leisure"/>
    <s v="Walk-in"/>
    <n v="5500"/>
    <n v="2"/>
    <n v="11000"/>
    <s v="Cancelled"/>
    <n v="2"/>
    <s v="Yes"/>
  </r>
  <r>
    <s v="B0110"/>
    <s v="2025-05-11"/>
    <s v="2025-06-02"/>
    <s v="2025-06-03"/>
    <x v="3"/>
    <x v="2"/>
    <s v="Deluxe"/>
    <s v="Family"/>
    <s v="Corporate"/>
    <n v="5500"/>
    <n v="1"/>
    <n v="5500"/>
    <s v="Cancelled"/>
    <n v="2"/>
    <s v="Yes"/>
  </r>
  <r>
    <s v="B0111"/>
    <s v="2025-11-24"/>
    <s v="2025-12-08"/>
    <s v="2025-12-14"/>
    <x v="0"/>
    <x v="2"/>
    <s v="Deluxe"/>
    <s v="Business"/>
    <s v="Travel Agent"/>
    <n v="4500"/>
    <n v="6"/>
    <n v="27000"/>
    <s v="Occupied"/>
    <n v="4"/>
    <s v="No"/>
  </r>
  <r>
    <s v="B0112"/>
    <s v="2025-07-15"/>
    <s v="2025-08-03"/>
    <s v="2025-08-06"/>
    <x v="2"/>
    <x v="0"/>
    <s v="Suite"/>
    <s v="Leisure"/>
    <s v="Corporate"/>
    <n v="7000"/>
    <n v="3"/>
    <n v="21000"/>
    <s v="Occupied"/>
    <n v="5"/>
    <s v="No"/>
  </r>
  <r>
    <s v="B0113"/>
    <s v="2025-01-05"/>
    <s v="2025-01-24"/>
    <s v="2025-01-31"/>
    <x v="1"/>
    <x v="2"/>
    <s v="Deluxe"/>
    <s v="Business"/>
    <s v="Corporate"/>
    <n v="9000"/>
    <n v="7"/>
    <n v="63000"/>
    <s v="Occupied"/>
    <n v="3"/>
    <s v="No"/>
  </r>
  <r>
    <s v="B0114"/>
    <s v="2025-04-23"/>
    <s v="2025-05-14"/>
    <s v="2025-05-16"/>
    <x v="0"/>
    <x v="0"/>
    <s v="Suite"/>
    <s v="Family"/>
    <s v="Online"/>
    <n v="7000"/>
    <n v="2"/>
    <n v="14000"/>
    <s v="Occupied"/>
    <n v="5"/>
    <s v="No"/>
  </r>
  <r>
    <s v="B0115"/>
    <s v="2025-06-08"/>
    <s v="2025-07-04"/>
    <s v="2025-07-08"/>
    <x v="0"/>
    <x v="0"/>
    <s v="Deluxe"/>
    <s v="Leisure"/>
    <s v="Walk-in"/>
    <n v="2500"/>
    <n v="4"/>
    <n v="10000"/>
    <s v="Occupied"/>
    <n v="5"/>
    <s v="No"/>
  </r>
  <r>
    <s v="B0116"/>
    <s v="2025-03-31"/>
    <s v="2025-04-07"/>
    <s v="2025-04-09"/>
    <x v="1"/>
    <x v="1"/>
    <s v="Deluxe"/>
    <s v="Business"/>
    <s v="Corporate"/>
    <n v="7000"/>
    <n v="2"/>
    <n v="14000"/>
    <s v="Cancelled"/>
    <n v="3"/>
    <s v="Yes"/>
  </r>
  <r>
    <s v="B0117"/>
    <s v="2025-09-04"/>
    <s v="2025-09-30"/>
    <s v="2025-10-03"/>
    <x v="4"/>
    <x v="0"/>
    <s v="Standard"/>
    <s v="Business"/>
    <s v="Walk-in"/>
    <n v="9000"/>
    <n v="3"/>
    <n v="27000"/>
    <s v="Cancelled"/>
    <n v="1"/>
    <s v="Yes"/>
  </r>
  <r>
    <s v="B0118"/>
    <s v="2025-10-13"/>
    <s v="2025-10-25"/>
    <s v="2025-10-26"/>
    <x v="3"/>
    <x v="2"/>
    <s v="Deluxe"/>
    <s v="Family"/>
    <s v="Corporate"/>
    <n v="5500"/>
    <n v="1"/>
    <n v="5500"/>
    <s v="Occupied"/>
    <n v="5"/>
    <s v="No"/>
  </r>
  <r>
    <s v="B0119"/>
    <s v="2025-10-27"/>
    <s v="2025-11-09"/>
    <s v="2025-11-16"/>
    <x v="0"/>
    <x v="2"/>
    <s v="Standard"/>
    <s v="Family"/>
    <s v="Corporate"/>
    <n v="9000"/>
    <n v="7"/>
    <n v="63000"/>
    <s v="Cancelled"/>
    <n v="1"/>
    <s v="Yes"/>
  </r>
  <r>
    <s v="B0120"/>
    <s v="2025-11-09"/>
    <s v="2025-11-17"/>
    <s v="2025-11-23"/>
    <x v="2"/>
    <x v="2"/>
    <s v="Standard"/>
    <s v="Business"/>
    <s v="Online"/>
    <n v="2500"/>
    <n v="6"/>
    <n v="15000"/>
    <s v="Occupied"/>
    <n v="4"/>
    <s v="No"/>
  </r>
  <r>
    <s v="B0121"/>
    <s v="2025-01-20"/>
    <s v="2025-01-30"/>
    <s v="2025-02-03"/>
    <x v="0"/>
    <x v="2"/>
    <s v="Deluxe"/>
    <s v="Leisure"/>
    <s v="Walk-in"/>
    <n v="2500"/>
    <n v="4"/>
    <n v="10000"/>
    <s v="Occupied"/>
    <n v="5"/>
    <s v="No"/>
  </r>
  <r>
    <s v="B0122"/>
    <s v="2025-10-28"/>
    <s v="2025-11-21"/>
    <s v="2025-11-27"/>
    <x v="4"/>
    <x v="1"/>
    <s v="Deluxe"/>
    <s v="Leisure"/>
    <s v="Online"/>
    <n v="3500"/>
    <n v="6"/>
    <n v="21000"/>
    <s v="Cancelled"/>
    <n v="1"/>
    <s v="Yes"/>
  </r>
  <r>
    <s v="B0123"/>
    <s v="2025-12-20"/>
    <s v="2026-01-01"/>
    <s v="2026-01-03"/>
    <x v="2"/>
    <x v="0"/>
    <s v="Suite"/>
    <s v="Leisure"/>
    <s v="Corporate"/>
    <n v="5500"/>
    <n v="2"/>
    <n v="11000"/>
    <s v="Occupied"/>
    <n v="3"/>
    <s v="No"/>
  </r>
  <r>
    <s v="B0124"/>
    <s v="2025-02-01"/>
    <s v="2025-02-14"/>
    <s v="2025-02-17"/>
    <x v="3"/>
    <x v="3"/>
    <s v="Suite"/>
    <s v="Family"/>
    <s v="Online"/>
    <n v="3500"/>
    <n v="3"/>
    <n v="10500"/>
    <s v="Cancelled"/>
    <n v="4"/>
    <s v="Yes"/>
  </r>
  <r>
    <s v="B0125"/>
    <s v="2025-01-26"/>
    <s v="2025-02-21"/>
    <s v="2025-02-24"/>
    <x v="3"/>
    <x v="1"/>
    <s v="Standard"/>
    <s v="Family"/>
    <s v="Travel Agent"/>
    <n v="3500"/>
    <n v="3"/>
    <n v="10500"/>
    <s v="Cancelled"/>
    <n v="2"/>
    <s v="Yes"/>
  </r>
  <r>
    <s v="B0126"/>
    <s v="2025-04-30"/>
    <s v="2025-05-11"/>
    <s v="2025-05-18"/>
    <x v="3"/>
    <x v="4"/>
    <s v="Standard"/>
    <s v="Business"/>
    <s v="Corporate"/>
    <n v="3500"/>
    <n v="7"/>
    <n v="24500"/>
    <s v="Occupied"/>
    <n v="5"/>
    <s v="No"/>
  </r>
  <r>
    <s v="B0127"/>
    <s v="2025-03-31"/>
    <s v="2025-04-04"/>
    <s v="2025-04-10"/>
    <x v="0"/>
    <x v="1"/>
    <s v="Deluxe"/>
    <s v="Business"/>
    <s v="Travel Agent"/>
    <n v="2500"/>
    <n v="6"/>
    <n v="15000"/>
    <s v="Occupied"/>
    <n v="4"/>
    <s v="No"/>
  </r>
  <r>
    <s v="B0128"/>
    <s v="2025-05-16"/>
    <s v="2025-05-18"/>
    <s v="2025-05-20"/>
    <x v="3"/>
    <x v="2"/>
    <s v="Deluxe"/>
    <s v="Leisure"/>
    <s v="Online"/>
    <n v="9000"/>
    <n v="2"/>
    <n v="18000"/>
    <s v="Occupied"/>
    <n v="3"/>
    <s v="No"/>
  </r>
  <r>
    <s v="B0129"/>
    <s v="2025-08-20"/>
    <s v="2025-09-06"/>
    <s v="2025-09-08"/>
    <x v="1"/>
    <x v="4"/>
    <s v="Deluxe"/>
    <s v="Family"/>
    <s v="Online"/>
    <n v="7000"/>
    <n v="2"/>
    <n v="14000"/>
    <s v="Occupied"/>
    <n v="5"/>
    <s v="No"/>
  </r>
  <r>
    <s v="B0130"/>
    <s v="2025-02-01"/>
    <s v="2025-02-17"/>
    <s v="2025-02-24"/>
    <x v="4"/>
    <x v="2"/>
    <s v="Standard"/>
    <s v="Business"/>
    <s v="Corporate"/>
    <n v="5500"/>
    <n v="7"/>
    <n v="38500"/>
    <s v="Occupied"/>
    <n v="3"/>
    <s v="No"/>
  </r>
  <r>
    <s v="B0131"/>
    <s v="2025-11-08"/>
    <s v="2025-11-13"/>
    <s v="2025-11-14"/>
    <x v="1"/>
    <x v="1"/>
    <s v="Suite"/>
    <s v="Leisure"/>
    <s v="Walk-in"/>
    <n v="3500"/>
    <n v="1"/>
    <n v="3500"/>
    <s v="Occupied"/>
    <n v="5"/>
    <s v="No"/>
  </r>
  <r>
    <s v="B0132"/>
    <s v="2025-11-02"/>
    <s v="2025-11-19"/>
    <s v="2025-11-22"/>
    <x v="3"/>
    <x v="0"/>
    <s v="Suite"/>
    <s v="Family"/>
    <s v="Travel Agent"/>
    <n v="5500"/>
    <n v="3"/>
    <n v="16500"/>
    <s v="Occupied"/>
    <n v="4"/>
    <s v="No"/>
  </r>
  <r>
    <s v="B0133"/>
    <s v="2025-08-09"/>
    <s v="2025-08-24"/>
    <s v="2025-08-26"/>
    <x v="4"/>
    <x v="2"/>
    <s v="Suite"/>
    <s v="Business"/>
    <s v="Corporate"/>
    <n v="5500"/>
    <n v="2"/>
    <n v="11000"/>
    <s v="Occupied"/>
    <n v="4"/>
    <s v="No"/>
  </r>
  <r>
    <s v="B0134"/>
    <s v="2025-08-07"/>
    <s v="2025-08-18"/>
    <s v="2025-08-24"/>
    <x v="4"/>
    <x v="0"/>
    <s v="Standard"/>
    <s v="Business"/>
    <s v="Online"/>
    <n v="4500"/>
    <n v="6"/>
    <n v="27000"/>
    <s v="Occupied"/>
    <n v="3"/>
    <s v="No"/>
  </r>
  <r>
    <s v="B0135"/>
    <s v="2025-08-10"/>
    <s v="2025-08-14"/>
    <s v="2025-08-20"/>
    <x v="1"/>
    <x v="0"/>
    <s v="Suite"/>
    <s v="Family"/>
    <s v="Corporate"/>
    <n v="9000"/>
    <n v="6"/>
    <n v="54000"/>
    <s v="Occupied"/>
    <n v="3"/>
    <s v="No"/>
  </r>
  <r>
    <s v="B0136"/>
    <s v="2025-12-10"/>
    <s v="2025-12-14"/>
    <s v="2025-12-18"/>
    <x v="3"/>
    <x v="4"/>
    <s v="Suite"/>
    <s v="Leisure"/>
    <s v="Corporate"/>
    <n v="4500"/>
    <n v="4"/>
    <n v="18000"/>
    <s v="Cancelled"/>
    <n v="4"/>
    <s v="Yes"/>
  </r>
  <r>
    <s v="B0137"/>
    <s v="2025-02-23"/>
    <s v="2025-03-14"/>
    <s v="2025-03-19"/>
    <x v="0"/>
    <x v="0"/>
    <s v="Deluxe"/>
    <s v="Family"/>
    <s v="Corporate"/>
    <n v="3500"/>
    <n v="5"/>
    <n v="17500"/>
    <s v="Occupied"/>
    <n v="4"/>
    <s v="No"/>
  </r>
  <r>
    <s v="B0138"/>
    <s v="2025-02-28"/>
    <s v="2025-03-25"/>
    <s v="2025-03-28"/>
    <x v="1"/>
    <x v="1"/>
    <s v="Suite"/>
    <s v="Family"/>
    <s v="Online"/>
    <n v="7000"/>
    <n v="3"/>
    <n v="21000"/>
    <s v="Occupied"/>
    <n v="4"/>
    <s v="No"/>
  </r>
  <r>
    <s v="B0139"/>
    <s v="2025-11-08"/>
    <s v="2025-12-08"/>
    <s v="2025-12-14"/>
    <x v="2"/>
    <x v="4"/>
    <s v="Deluxe"/>
    <s v="Leisure"/>
    <s v="Online"/>
    <n v="9000"/>
    <n v="6"/>
    <n v="54000"/>
    <s v="Occupied"/>
    <n v="3"/>
    <s v="No"/>
  </r>
  <r>
    <s v="B0140"/>
    <s v="2025-04-03"/>
    <s v="2025-05-01"/>
    <s v="2025-05-03"/>
    <x v="0"/>
    <x v="0"/>
    <s v="Standard"/>
    <s v="Family"/>
    <s v="Travel Agent"/>
    <n v="7000"/>
    <n v="2"/>
    <n v="14000"/>
    <s v="Occupied"/>
    <n v="3"/>
    <s v="No"/>
  </r>
  <r>
    <s v="B0141"/>
    <s v="2025-07-12"/>
    <s v="2025-07-26"/>
    <s v="2025-07-30"/>
    <x v="2"/>
    <x v="1"/>
    <s v="Suite"/>
    <s v="Business"/>
    <s v="Online"/>
    <n v="4500"/>
    <n v="4"/>
    <n v="18000"/>
    <s v="Occupied"/>
    <n v="4"/>
    <s v="No"/>
  </r>
  <r>
    <s v="B0142"/>
    <s v="2025-03-21"/>
    <s v="2025-03-27"/>
    <s v="2025-04-03"/>
    <x v="2"/>
    <x v="2"/>
    <s v="Suite"/>
    <s v="Leisure"/>
    <s v="Walk-in"/>
    <n v="7000"/>
    <n v="7"/>
    <n v="49000"/>
    <s v="Occupied"/>
    <n v="3"/>
    <s v="No"/>
  </r>
  <r>
    <s v="B0143"/>
    <s v="2025-11-07"/>
    <s v="2025-11-22"/>
    <s v="2025-11-26"/>
    <x v="3"/>
    <x v="4"/>
    <s v="Deluxe"/>
    <s v="Business"/>
    <s v="Corporate"/>
    <n v="4500"/>
    <n v="4"/>
    <n v="18000"/>
    <s v="Occupied"/>
    <n v="5"/>
    <s v="No"/>
  </r>
  <r>
    <s v="B0144"/>
    <s v="2025-12-14"/>
    <s v="2026-01-05"/>
    <s v="2026-01-10"/>
    <x v="3"/>
    <x v="3"/>
    <s v="Deluxe"/>
    <s v="Family"/>
    <s v="Online"/>
    <n v="5500"/>
    <n v="5"/>
    <n v="27500"/>
    <s v="Occupied"/>
    <n v="4"/>
    <s v="No"/>
  </r>
  <r>
    <s v="B0145"/>
    <s v="2025-01-04"/>
    <s v="2025-01-11"/>
    <s v="2025-01-14"/>
    <x v="2"/>
    <x v="4"/>
    <s v="Standard"/>
    <s v="Business"/>
    <s v="Walk-in"/>
    <n v="3500"/>
    <n v="3"/>
    <n v="10500"/>
    <s v="Occupied"/>
    <n v="4"/>
    <s v="No"/>
  </r>
  <r>
    <s v="B0146"/>
    <s v="2025-08-09"/>
    <s v="2025-08-15"/>
    <s v="2025-08-17"/>
    <x v="1"/>
    <x v="1"/>
    <s v="Suite"/>
    <s v="Leisure"/>
    <s v="Online"/>
    <n v="5500"/>
    <n v="2"/>
    <n v="11000"/>
    <s v="Occupied"/>
    <n v="3"/>
    <s v="No"/>
  </r>
  <r>
    <s v="B0147"/>
    <s v="2025-07-23"/>
    <s v="2025-08-20"/>
    <s v="2025-08-26"/>
    <x v="3"/>
    <x v="4"/>
    <s v="Suite"/>
    <s v="Leisure"/>
    <s v="Walk-in"/>
    <n v="2500"/>
    <n v="6"/>
    <n v="15000"/>
    <s v="Occupied"/>
    <n v="4"/>
    <s v="No"/>
  </r>
  <r>
    <s v="B0148"/>
    <s v="2025-12-30"/>
    <s v="2026-01-20"/>
    <s v="2026-01-24"/>
    <x v="2"/>
    <x v="3"/>
    <s v="Suite"/>
    <s v="Leisure"/>
    <s v="Corporate"/>
    <n v="4500"/>
    <n v="4"/>
    <n v="18000"/>
    <s v="Occupied"/>
    <n v="3"/>
    <s v="No"/>
  </r>
  <r>
    <s v="B0149"/>
    <s v="2025-02-15"/>
    <s v="2025-03-01"/>
    <s v="2025-03-08"/>
    <x v="4"/>
    <x v="1"/>
    <s v="Standard"/>
    <s v="Leisure"/>
    <s v="Corporate"/>
    <n v="2500"/>
    <n v="7"/>
    <n v="17500"/>
    <s v="Occupied"/>
    <n v="5"/>
    <s v="No"/>
  </r>
  <r>
    <s v="B0150"/>
    <s v="2025-06-23"/>
    <s v="2025-07-01"/>
    <s v="2025-07-04"/>
    <x v="3"/>
    <x v="1"/>
    <s v="Suite"/>
    <s v="Business"/>
    <s v="Corporate"/>
    <n v="3500"/>
    <n v="3"/>
    <n v="10500"/>
    <s v="Occupied"/>
    <n v="5"/>
    <s v="No"/>
  </r>
  <r>
    <s v="B0151"/>
    <s v="2025-06-29"/>
    <s v="2025-07-23"/>
    <s v="2025-07-30"/>
    <x v="3"/>
    <x v="3"/>
    <s v="Deluxe"/>
    <s v="Business"/>
    <s v="Travel Agent"/>
    <n v="9000"/>
    <n v="7"/>
    <n v="63000"/>
    <s v="Occupied"/>
    <n v="3"/>
    <s v="No"/>
  </r>
  <r>
    <s v="B0152"/>
    <s v="2025-11-05"/>
    <s v="2025-11-10"/>
    <s v="2025-11-17"/>
    <x v="4"/>
    <x v="2"/>
    <s v="Suite"/>
    <s v="Family"/>
    <s v="Walk-in"/>
    <n v="9000"/>
    <n v="7"/>
    <n v="63000"/>
    <s v="Occupied"/>
    <n v="5"/>
    <s v="No"/>
  </r>
  <r>
    <s v="B0153"/>
    <s v="2025-12-15"/>
    <s v="2026-01-14"/>
    <s v="2026-01-19"/>
    <x v="2"/>
    <x v="4"/>
    <s v="Standard"/>
    <s v="Leisure"/>
    <s v="Online"/>
    <n v="9000"/>
    <n v="5"/>
    <n v="45000"/>
    <s v="Occupied"/>
    <n v="5"/>
    <s v="No"/>
  </r>
  <r>
    <s v="B0154"/>
    <s v="2025-08-29"/>
    <s v="2025-09-13"/>
    <s v="2025-09-19"/>
    <x v="3"/>
    <x v="4"/>
    <s v="Suite"/>
    <s v="Business"/>
    <s v="Corporate"/>
    <n v="4500"/>
    <n v="6"/>
    <n v="27000"/>
    <s v="Occupied"/>
    <n v="5"/>
    <s v="No"/>
  </r>
  <r>
    <s v="B0155"/>
    <s v="2025-08-25"/>
    <s v="2025-09-09"/>
    <s v="2025-09-10"/>
    <x v="3"/>
    <x v="0"/>
    <s v="Suite"/>
    <s v="Family"/>
    <s v="Walk-in"/>
    <n v="2500"/>
    <n v="1"/>
    <n v="2500"/>
    <s v="Occupied"/>
    <n v="4"/>
    <s v="No"/>
  </r>
  <r>
    <s v="B0156"/>
    <s v="2025-08-25"/>
    <s v="2025-09-13"/>
    <s v="2025-09-18"/>
    <x v="1"/>
    <x v="3"/>
    <s v="Deluxe"/>
    <s v="Family"/>
    <s v="Walk-in"/>
    <n v="9000"/>
    <n v="5"/>
    <n v="45000"/>
    <s v="Cancelled"/>
    <n v="4"/>
    <s v="Yes"/>
  </r>
  <r>
    <s v="B0157"/>
    <s v="2025-09-14"/>
    <s v="2025-09-19"/>
    <s v="2025-09-20"/>
    <x v="3"/>
    <x v="1"/>
    <s v="Suite"/>
    <s v="Business"/>
    <s v="Online"/>
    <n v="5500"/>
    <n v="1"/>
    <n v="5500"/>
    <s v="Occupied"/>
    <n v="4"/>
    <s v="No"/>
  </r>
  <r>
    <s v="B0158"/>
    <s v="2025-05-07"/>
    <s v="2025-05-30"/>
    <s v="2025-06-03"/>
    <x v="0"/>
    <x v="4"/>
    <s v="Deluxe"/>
    <s v="Leisure"/>
    <s v="Walk-in"/>
    <n v="5500"/>
    <n v="4"/>
    <n v="22000"/>
    <s v="Occupied"/>
    <n v="5"/>
    <s v="No"/>
  </r>
  <r>
    <s v="B0159"/>
    <s v="2025-07-29"/>
    <s v="2025-08-23"/>
    <s v="2025-08-26"/>
    <x v="2"/>
    <x v="0"/>
    <s v="Deluxe"/>
    <s v="Business"/>
    <s v="Walk-in"/>
    <n v="9000"/>
    <n v="3"/>
    <n v="27000"/>
    <s v="Occupied"/>
    <n v="5"/>
    <s v="No"/>
  </r>
  <r>
    <s v="B0160"/>
    <s v="2025-05-26"/>
    <s v="2025-06-04"/>
    <s v="2025-06-10"/>
    <x v="2"/>
    <x v="0"/>
    <s v="Suite"/>
    <s v="Family"/>
    <s v="Travel Agent"/>
    <n v="9000"/>
    <n v="6"/>
    <n v="54000"/>
    <s v="Cancelled"/>
    <n v="2"/>
    <s v="Yes"/>
  </r>
  <r>
    <s v="B0161"/>
    <s v="2025-06-29"/>
    <s v="2025-07-09"/>
    <s v="2025-07-15"/>
    <x v="1"/>
    <x v="0"/>
    <s v="Deluxe"/>
    <s v="Family"/>
    <s v="Walk-in"/>
    <n v="9000"/>
    <n v="6"/>
    <n v="54000"/>
    <s v="Occupied"/>
    <n v="3"/>
    <s v="No"/>
  </r>
  <r>
    <s v="B0162"/>
    <s v="2025-11-26"/>
    <s v="2025-12-22"/>
    <s v="2025-12-25"/>
    <x v="1"/>
    <x v="0"/>
    <s v="Suite"/>
    <s v="Family"/>
    <s v="Walk-in"/>
    <n v="3500"/>
    <n v="3"/>
    <n v="10500"/>
    <s v="Occupied"/>
    <n v="5"/>
    <s v="No"/>
  </r>
  <r>
    <s v="B0163"/>
    <s v="2025-09-18"/>
    <s v="2025-09-30"/>
    <s v="2025-10-01"/>
    <x v="2"/>
    <x v="2"/>
    <s v="Standard"/>
    <s v="Business"/>
    <s v="Travel Agent"/>
    <n v="4500"/>
    <n v="1"/>
    <n v="4500"/>
    <s v="Occupied"/>
    <n v="3"/>
    <s v="No"/>
  </r>
  <r>
    <s v="B0164"/>
    <s v="2025-03-21"/>
    <s v="2025-03-24"/>
    <s v="2025-03-27"/>
    <x v="1"/>
    <x v="0"/>
    <s v="Suite"/>
    <s v="Leisure"/>
    <s v="Travel Agent"/>
    <n v="2500"/>
    <n v="3"/>
    <n v="7500"/>
    <s v="Occupied"/>
    <n v="5"/>
    <s v="No"/>
  </r>
  <r>
    <s v="B0165"/>
    <s v="2025-11-02"/>
    <s v="2025-11-15"/>
    <s v="2025-11-17"/>
    <x v="1"/>
    <x v="3"/>
    <s v="Suite"/>
    <s v="Leisure"/>
    <s v="Online"/>
    <n v="3500"/>
    <n v="2"/>
    <n v="7000"/>
    <s v="Occupied"/>
    <n v="5"/>
    <s v="No"/>
  </r>
  <r>
    <s v="B0166"/>
    <s v="2025-07-30"/>
    <s v="2025-08-11"/>
    <s v="2025-08-17"/>
    <x v="1"/>
    <x v="4"/>
    <s v="Suite"/>
    <s v="Leisure"/>
    <s v="Travel Agent"/>
    <n v="9000"/>
    <n v="6"/>
    <n v="54000"/>
    <s v="Occupied"/>
    <n v="4"/>
    <s v="No"/>
  </r>
  <r>
    <s v="B0167"/>
    <s v="2025-10-01"/>
    <s v="2025-10-09"/>
    <s v="2025-10-12"/>
    <x v="2"/>
    <x v="1"/>
    <s v="Deluxe"/>
    <s v="Leisure"/>
    <s v="Corporate"/>
    <n v="5500"/>
    <n v="3"/>
    <n v="16500"/>
    <s v="Cancelled"/>
    <n v="2"/>
    <s v="Yes"/>
  </r>
  <r>
    <s v="B0168"/>
    <s v="2025-07-15"/>
    <s v="2025-08-01"/>
    <s v="2025-08-06"/>
    <x v="1"/>
    <x v="3"/>
    <s v="Deluxe"/>
    <s v="Business"/>
    <s v="Walk-in"/>
    <n v="5500"/>
    <n v="5"/>
    <n v="27500"/>
    <s v="Cancelled"/>
    <n v="2"/>
    <s v="Yes"/>
  </r>
  <r>
    <s v="B0169"/>
    <s v="2025-07-10"/>
    <s v="2025-07-28"/>
    <s v="2025-07-29"/>
    <x v="2"/>
    <x v="0"/>
    <s v="Standard"/>
    <s v="Leisure"/>
    <s v="Walk-in"/>
    <n v="9000"/>
    <n v="1"/>
    <n v="9000"/>
    <s v="Occupied"/>
    <n v="3"/>
    <s v="No"/>
  </r>
  <r>
    <s v="B0170"/>
    <s v="2025-09-20"/>
    <s v="2025-09-25"/>
    <s v="2025-10-02"/>
    <x v="4"/>
    <x v="4"/>
    <s v="Standard"/>
    <s v="Leisure"/>
    <s v="Online"/>
    <n v="5500"/>
    <n v="7"/>
    <n v="38500"/>
    <s v="Occupied"/>
    <n v="3"/>
    <s v="No"/>
  </r>
  <r>
    <s v="B0171"/>
    <s v="2025-07-22"/>
    <s v="2025-08-08"/>
    <s v="2025-08-11"/>
    <x v="2"/>
    <x v="3"/>
    <s v="Standard"/>
    <s v="Leisure"/>
    <s v="Online"/>
    <n v="3500"/>
    <n v="3"/>
    <n v="10500"/>
    <s v="Occupied"/>
    <n v="3"/>
    <s v="No"/>
  </r>
  <r>
    <s v="B0172"/>
    <s v="2025-11-29"/>
    <s v="2025-12-10"/>
    <s v="2025-12-17"/>
    <x v="4"/>
    <x v="3"/>
    <s v="Suite"/>
    <s v="Leisure"/>
    <s v="Walk-in"/>
    <n v="3500"/>
    <n v="7"/>
    <n v="24500"/>
    <s v="Occupied"/>
    <n v="4"/>
    <s v="No"/>
  </r>
  <r>
    <s v="B0173"/>
    <s v="2025-11-12"/>
    <s v="2025-11-13"/>
    <s v="2025-11-14"/>
    <x v="1"/>
    <x v="1"/>
    <s v="Suite"/>
    <s v="Leisure"/>
    <s v="Online"/>
    <n v="2500"/>
    <n v="1"/>
    <n v="2500"/>
    <s v="Occupied"/>
    <n v="3"/>
    <s v="No"/>
  </r>
  <r>
    <s v="B0174"/>
    <s v="2025-05-28"/>
    <s v="2025-06-05"/>
    <s v="2025-06-08"/>
    <x v="1"/>
    <x v="2"/>
    <s v="Standard"/>
    <s v="Business"/>
    <s v="Walk-in"/>
    <n v="2500"/>
    <n v="3"/>
    <n v="7500"/>
    <s v="Occupied"/>
    <n v="4"/>
    <s v="No"/>
  </r>
  <r>
    <s v="B0175"/>
    <s v="2025-11-02"/>
    <s v="2025-11-20"/>
    <s v="2025-11-21"/>
    <x v="0"/>
    <x v="4"/>
    <s v="Deluxe"/>
    <s v="Business"/>
    <s v="Corporate"/>
    <n v="9000"/>
    <n v="1"/>
    <n v="9000"/>
    <s v="Occupied"/>
    <n v="3"/>
    <s v="No"/>
  </r>
  <r>
    <s v="B0176"/>
    <s v="2025-05-04"/>
    <s v="2025-05-23"/>
    <s v="2025-05-27"/>
    <x v="1"/>
    <x v="4"/>
    <s v="Standard"/>
    <s v="Family"/>
    <s v="Online"/>
    <n v="3500"/>
    <n v="4"/>
    <n v="14000"/>
    <s v="Occupied"/>
    <n v="3"/>
    <s v="No"/>
  </r>
  <r>
    <s v="B0177"/>
    <s v="2025-07-19"/>
    <s v="2025-08-16"/>
    <s v="2025-08-20"/>
    <x v="2"/>
    <x v="0"/>
    <s v="Deluxe"/>
    <s v="Business"/>
    <s v="Corporate"/>
    <n v="2500"/>
    <n v="4"/>
    <n v="10000"/>
    <s v="Occupied"/>
    <n v="4"/>
    <s v="No"/>
  </r>
  <r>
    <s v="B0178"/>
    <s v="2025-05-04"/>
    <s v="2025-05-28"/>
    <s v="2025-06-03"/>
    <x v="2"/>
    <x v="3"/>
    <s v="Standard"/>
    <s v="Leisure"/>
    <s v="Corporate"/>
    <n v="9000"/>
    <n v="6"/>
    <n v="54000"/>
    <s v="Occupied"/>
    <n v="5"/>
    <s v="No"/>
  </r>
  <r>
    <s v="B0179"/>
    <s v="2025-11-26"/>
    <s v="2025-12-02"/>
    <s v="2025-12-09"/>
    <x v="4"/>
    <x v="3"/>
    <s v="Standard"/>
    <s v="Business"/>
    <s v="Walk-in"/>
    <n v="9000"/>
    <n v="7"/>
    <n v="63000"/>
    <s v="Occupied"/>
    <n v="5"/>
    <s v="No"/>
  </r>
  <r>
    <s v="B0180"/>
    <s v="2025-01-19"/>
    <s v="2025-01-29"/>
    <s v="2025-01-31"/>
    <x v="2"/>
    <x v="4"/>
    <s v="Suite"/>
    <s v="Leisure"/>
    <s v="Walk-in"/>
    <n v="2500"/>
    <n v="2"/>
    <n v="5000"/>
    <s v="Occupied"/>
    <n v="3"/>
    <s v="No"/>
  </r>
  <r>
    <s v="B0181"/>
    <s v="2025-05-10"/>
    <s v="2025-05-12"/>
    <s v="2025-05-19"/>
    <x v="3"/>
    <x v="4"/>
    <s v="Deluxe"/>
    <s v="Business"/>
    <s v="Corporate"/>
    <n v="9000"/>
    <n v="7"/>
    <n v="63000"/>
    <s v="Occupied"/>
    <n v="4"/>
    <s v="No"/>
  </r>
  <r>
    <s v="B0182"/>
    <s v="2025-08-12"/>
    <s v="2025-09-10"/>
    <s v="2025-09-14"/>
    <x v="2"/>
    <x v="3"/>
    <s v="Deluxe"/>
    <s v="Family"/>
    <s v="Walk-in"/>
    <n v="9000"/>
    <n v="4"/>
    <n v="36000"/>
    <s v="Occupied"/>
    <n v="4"/>
    <s v="No"/>
  </r>
  <r>
    <s v="B0183"/>
    <s v="2025-07-08"/>
    <s v="2025-08-07"/>
    <s v="2025-08-14"/>
    <x v="4"/>
    <x v="0"/>
    <s v="Deluxe"/>
    <s v="Family"/>
    <s v="Travel Agent"/>
    <n v="7000"/>
    <n v="7"/>
    <n v="49000"/>
    <s v="Occupied"/>
    <n v="3"/>
    <s v="No"/>
  </r>
  <r>
    <s v="B0184"/>
    <s v="2025-10-07"/>
    <s v="2025-10-17"/>
    <s v="2025-10-20"/>
    <x v="2"/>
    <x v="4"/>
    <s v="Deluxe"/>
    <s v="Family"/>
    <s v="Walk-in"/>
    <n v="2500"/>
    <n v="3"/>
    <n v="7500"/>
    <s v="Occupied"/>
    <n v="5"/>
    <s v="No"/>
  </r>
  <r>
    <s v="B0185"/>
    <s v="2025-03-27"/>
    <s v="2025-04-19"/>
    <s v="2025-04-23"/>
    <x v="2"/>
    <x v="1"/>
    <s v="Deluxe"/>
    <s v="Leisure"/>
    <s v="Online"/>
    <n v="4500"/>
    <n v="4"/>
    <n v="18000"/>
    <s v="Occupied"/>
    <n v="5"/>
    <s v="No"/>
  </r>
  <r>
    <s v="B0186"/>
    <s v="2025-02-08"/>
    <s v="2025-03-02"/>
    <s v="2025-03-08"/>
    <x v="0"/>
    <x v="0"/>
    <s v="Standard"/>
    <s v="Family"/>
    <s v="Walk-in"/>
    <n v="5500"/>
    <n v="6"/>
    <n v="33000"/>
    <s v="Occupied"/>
    <n v="5"/>
    <s v="No"/>
  </r>
  <r>
    <s v="B0187"/>
    <s v="2025-01-18"/>
    <s v="2025-01-23"/>
    <s v="2025-01-24"/>
    <x v="2"/>
    <x v="2"/>
    <s v="Suite"/>
    <s v="Business"/>
    <s v="Travel Agent"/>
    <n v="3500"/>
    <n v="1"/>
    <n v="3500"/>
    <s v="Occupied"/>
    <n v="4"/>
    <s v="No"/>
  </r>
  <r>
    <s v="B0188"/>
    <s v="2025-12-14"/>
    <s v="2025-12-29"/>
    <s v="2026-01-01"/>
    <x v="1"/>
    <x v="3"/>
    <s v="Suite"/>
    <s v="Leisure"/>
    <s v="Walk-in"/>
    <n v="4500"/>
    <n v="3"/>
    <n v="13500"/>
    <s v="Occupied"/>
    <n v="3"/>
    <s v="No"/>
  </r>
  <r>
    <s v="B0189"/>
    <s v="2025-06-10"/>
    <s v="2025-07-01"/>
    <s v="2025-07-04"/>
    <x v="0"/>
    <x v="2"/>
    <s v="Suite"/>
    <s v="Leisure"/>
    <s v="Online"/>
    <n v="3500"/>
    <n v="3"/>
    <n v="10500"/>
    <s v="Cancelled"/>
    <n v="1"/>
    <s v="Yes"/>
  </r>
  <r>
    <s v="B0190"/>
    <s v="2025-05-15"/>
    <s v="2025-06-09"/>
    <s v="2025-06-12"/>
    <x v="2"/>
    <x v="2"/>
    <s v="Standard"/>
    <s v="Business"/>
    <s v="Travel Agent"/>
    <n v="9000"/>
    <n v="3"/>
    <n v="27000"/>
    <s v="Occupied"/>
    <n v="5"/>
    <s v="No"/>
  </r>
  <r>
    <s v="B0191"/>
    <s v="2025-02-07"/>
    <s v="2025-02-22"/>
    <s v="2025-02-24"/>
    <x v="2"/>
    <x v="4"/>
    <s v="Suite"/>
    <s v="Business"/>
    <s v="Corporate"/>
    <n v="9000"/>
    <n v="2"/>
    <n v="18000"/>
    <s v="Occupied"/>
    <n v="3"/>
    <s v="No"/>
  </r>
  <r>
    <s v="B0192"/>
    <s v="2025-06-03"/>
    <s v="2025-07-01"/>
    <s v="2025-07-03"/>
    <x v="0"/>
    <x v="4"/>
    <s v="Suite"/>
    <s v="Business"/>
    <s v="Online"/>
    <n v="9000"/>
    <n v="2"/>
    <n v="18000"/>
    <s v="Occupied"/>
    <n v="5"/>
    <s v="No"/>
  </r>
  <r>
    <s v="B0193"/>
    <s v="2025-04-13"/>
    <s v="2025-05-09"/>
    <s v="2025-05-11"/>
    <x v="2"/>
    <x v="1"/>
    <s v="Suite"/>
    <s v="Leisure"/>
    <s v="Walk-in"/>
    <n v="3500"/>
    <n v="2"/>
    <n v="7000"/>
    <s v="Occupied"/>
    <n v="3"/>
    <s v="No"/>
  </r>
  <r>
    <s v="B0194"/>
    <s v="2025-10-10"/>
    <s v="2025-10-15"/>
    <s v="2025-10-20"/>
    <x v="4"/>
    <x v="1"/>
    <s v="Deluxe"/>
    <s v="Leisure"/>
    <s v="Online"/>
    <n v="2500"/>
    <n v="5"/>
    <n v="12500"/>
    <s v="Occupied"/>
    <n v="4"/>
    <s v="No"/>
  </r>
  <r>
    <s v="B0195"/>
    <s v="2025-03-06"/>
    <s v="2025-03-17"/>
    <s v="2025-03-23"/>
    <x v="1"/>
    <x v="4"/>
    <s v="Standard"/>
    <s v="Family"/>
    <s v="Travel Agent"/>
    <n v="2500"/>
    <n v="6"/>
    <n v="15000"/>
    <s v="Occupied"/>
    <n v="5"/>
    <s v="No"/>
  </r>
  <r>
    <s v="B0196"/>
    <s v="2025-03-08"/>
    <s v="2025-03-22"/>
    <s v="2025-03-27"/>
    <x v="0"/>
    <x v="4"/>
    <s v="Standard"/>
    <s v="Business"/>
    <s v="Corporate"/>
    <n v="2500"/>
    <n v="5"/>
    <n v="12500"/>
    <s v="Occupied"/>
    <n v="5"/>
    <s v="No"/>
  </r>
  <r>
    <s v="B0197"/>
    <s v="2025-12-30"/>
    <s v="2026-01-07"/>
    <s v="2026-01-10"/>
    <x v="2"/>
    <x v="3"/>
    <s v="Suite"/>
    <s v="Family"/>
    <s v="Corporate"/>
    <n v="7000"/>
    <n v="3"/>
    <n v="21000"/>
    <s v="Cancelled"/>
    <n v="1"/>
    <s v="Yes"/>
  </r>
  <r>
    <s v="B0198"/>
    <s v="2025-03-06"/>
    <s v="2025-03-27"/>
    <s v="2025-03-30"/>
    <x v="0"/>
    <x v="1"/>
    <s v="Suite"/>
    <s v="Business"/>
    <s v="Travel Agent"/>
    <n v="7000"/>
    <n v="3"/>
    <n v="21000"/>
    <s v="Occupied"/>
    <n v="5"/>
    <s v="No"/>
  </r>
  <r>
    <s v="B0199"/>
    <s v="2025-12-04"/>
    <s v="2025-12-24"/>
    <s v="2025-12-30"/>
    <x v="3"/>
    <x v="0"/>
    <s v="Standard"/>
    <s v="Business"/>
    <s v="Corporate"/>
    <n v="7000"/>
    <n v="6"/>
    <n v="42000"/>
    <s v="Occupied"/>
    <n v="5"/>
    <s v="No"/>
  </r>
  <r>
    <s v="B0200"/>
    <s v="2025-11-30"/>
    <s v="2025-12-07"/>
    <s v="2025-12-14"/>
    <x v="3"/>
    <x v="2"/>
    <s v="Suite"/>
    <s v="Family"/>
    <s v="Corporate"/>
    <n v="7000"/>
    <n v="7"/>
    <n v="49000"/>
    <s v="Occupied"/>
    <n v="5"/>
    <s v="No"/>
  </r>
  <r>
    <s v="B0201"/>
    <s v="2025-11-25"/>
    <s v="2025-12-05"/>
    <s v="2025-12-09"/>
    <x v="4"/>
    <x v="4"/>
    <s v="Deluxe"/>
    <s v="Business"/>
    <s v="Online"/>
    <n v="3500"/>
    <n v="4"/>
    <n v="14000"/>
    <s v="Occupied"/>
    <n v="5"/>
    <s v="No"/>
  </r>
  <r>
    <s v="B0202"/>
    <s v="2025-03-22"/>
    <s v="2025-04-06"/>
    <s v="2025-04-10"/>
    <x v="1"/>
    <x v="3"/>
    <s v="Deluxe"/>
    <s v="Family"/>
    <s v="Corporate"/>
    <n v="5500"/>
    <n v="4"/>
    <n v="22000"/>
    <s v="Occupied"/>
    <n v="4"/>
    <s v="No"/>
  </r>
  <r>
    <s v="B0203"/>
    <s v="2025-06-26"/>
    <s v="2025-07-09"/>
    <s v="2025-07-11"/>
    <x v="2"/>
    <x v="3"/>
    <s v="Deluxe"/>
    <s v="Business"/>
    <s v="Corporate"/>
    <n v="4500"/>
    <n v="2"/>
    <n v="9000"/>
    <s v="Occupied"/>
    <n v="3"/>
    <s v="No"/>
  </r>
  <r>
    <s v="B0204"/>
    <s v="2025-08-19"/>
    <s v="2025-08-27"/>
    <s v="2025-08-29"/>
    <x v="1"/>
    <x v="2"/>
    <s v="Standard"/>
    <s v="Business"/>
    <s v="Corporate"/>
    <n v="2500"/>
    <n v="2"/>
    <n v="5000"/>
    <s v="Occupied"/>
    <n v="4"/>
    <s v="No"/>
  </r>
  <r>
    <s v="B0205"/>
    <s v="2025-10-23"/>
    <s v="2025-11-16"/>
    <s v="2025-11-19"/>
    <x v="1"/>
    <x v="2"/>
    <s v="Deluxe"/>
    <s v="Leisure"/>
    <s v="Walk-in"/>
    <n v="3500"/>
    <n v="3"/>
    <n v="10500"/>
    <s v="Occupied"/>
    <n v="4"/>
    <s v="No"/>
  </r>
  <r>
    <s v="B0206"/>
    <s v="2025-01-12"/>
    <s v="2025-01-15"/>
    <s v="2025-01-19"/>
    <x v="0"/>
    <x v="1"/>
    <s v="Deluxe"/>
    <s v="Business"/>
    <s v="Online"/>
    <n v="7000"/>
    <n v="4"/>
    <n v="28000"/>
    <s v="Occupied"/>
    <n v="3"/>
    <s v="No"/>
  </r>
  <r>
    <s v="B0207"/>
    <s v="2025-05-25"/>
    <s v="2025-06-10"/>
    <s v="2025-06-15"/>
    <x v="1"/>
    <x v="0"/>
    <s v="Standard"/>
    <s v="Leisure"/>
    <s v="Travel Agent"/>
    <n v="9000"/>
    <n v="5"/>
    <n v="45000"/>
    <s v="Occupied"/>
    <n v="4"/>
    <s v="No"/>
  </r>
  <r>
    <s v="B0208"/>
    <s v="2025-05-16"/>
    <s v="2025-06-09"/>
    <s v="2025-06-12"/>
    <x v="3"/>
    <x v="1"/>
    <s v="Suite"/>
    <s v="Business"/>
    <s v="Corporate"/>
    <n v="5500"/>
    <n v="3"/>
    <n v="16500"/>
    <s v="Occupied"/>
    <n v="4"/>
    <s v="No"/>
  </r>
  <r>
    <s v="B0209"/>
    <s v="2025-10-11"/>
    <s v="2025-10-21"/>
    <s v="2025-10-22"/>
    <x v="2"/>
    <x v="1"/>
    <s v="Suite"/>
    <s v="Family"/>
    <s v="Online"/>
    <n v="5500"/>
    <n v="1"/>
    <n v="5500"/>
    <s v="Occupied"/>
    <n v="5"/>
    <s v="No"/>
  </r>
  <r>
    <s v="B0210"/>
    <s v="2025-03-07"/>
    <s v="2025-03-11"/>
    <s v="2025-03-15"/>
    <x v="1"/>
    <x v="4"/>
    <s v="Standard"/>
    <s v="Business"/>
    <s v="Walk-in"/>
    <n v="4500"/>
    <n v="4"/>
    <n v="18000"/>
    <s v="Occupied"/>
    <n v="4"/>
    <s v="No"/>
  </r>
  <r>
    <s v="B0211"/>
    <s v="2025-09-14"/>
    <s v="2025-09-16"/>
    <s v="2025-09-17"/>
    <x v="4"/>
    <x v="1"/>
    <s v="Deluxe"/>
    <s v="Business"/>
    <s v="Travel Agent"/>
    <n v="2500"/>
    <n v="1"/>
    <n v="2500"/>
    <s v="Occupied"/>
    <n v="4"/>
    <s v="No"/>
  </r>
  <r>
    <s v="B0212"/>
    <s v="2025-06-17"/>
    <s v="2025-07-17"/>
    <s v="2025-07-22"/>
    <x v="2"/>
    <x v="1"/>
    <s v="Deluxe"/>
    <s v="Family"/>
    <s v="Walk-in"/>
    <n v="4500"/>
    <n v="5"/>
    <n v="22500"/>
    <s v="Occupied"/>
    <n v="5"/>
    <s v="No"/>
  </r>
  <r>
    <s v="B0213"/>
    <s v="2025-12-29"/>
    <s v="2026-01-17"/>
    <s v="2026-01-20"/>
    <x v="2"/>
    <x v="0"/>
    <s v="Deluxe"/>
    <s v="Family"/>
    <s v="Corporate"/>
    <n v="5500"/>
    <n v="3"/>
    <n v="16500"/>
    <s v="Occupied"/>
    <n v="4"/>
    <s v="No"/>
  </r>
  <r>
    <s v="B0214"/>
    <s v="2025-12-19"/>
    <s v="2026-01-09"/>
    <s v="2026-01-10"/>
    <x v="1"/>
    <x v="1"/>
    <s v="Standard"/>
    <s v="Family"/>
    <s v="Online"/>
    <n v="7000"/>
    <n v="1"/>
    <n v="7000"/>
    <s v="Occupied"/>
    <n v="5"/>
    <s v="No"/>
  </r>
  <r>
    <s v="B0215"/>
    <s v="2025-10-26"/>
    <s v="2025-11-11"/>
    <s v="2025-11-13"/>
    <x v="4"/>
    <x v="3"/>
    <s v="Suite"/>
    <s v="Business"/>
    <s v="Online"/>
    <n v="7000"/>
    <n v="2"/>
    <n v="14000"/>
    <s v="Occupied"/>
    <n v="5"/>
    <s v="No"/>
  </r>
  <r>
    <s v="B0216"/>
    <s v="2025-10-21"/>
    <s v="2025-11-13"/>
    <s v="2025-11-14"/>
    <x v="4"/>
    <x v="3"/>
    <s v="Deluxe"/>
    <s v="Family"/>
    <s v="Travel Agent"/>
    <n v="3500"/>
    <n v="1"/>
    <n v="3500"/>
    <s v="Occupied"/>
    <n v="4"/>
    <s v="No"/>
  </r>
  <r>
    <s v="B0217"/>
    <s v="2025-07-30"/>
    <s v="2025-08-16"/>
    <s v="2025-08-23"/>
    <x v="0"/>
    <x v="1"/>
    <s v="Standard"/>
    <s v="Family"/>
    <s v="Corporate"/>
    <n v="7000"/>
    <n v="7"/>
    <n v="49000"/>
    <s v="Cancelled"/>
    <n v="1"/>
    <s v="Yes"/>
  </r>
  <r>
    <s v="B0218"/>
    <s v="2025-12-06"/>
    <s v="2025-12-22"/>
    <s v="2025-12-27"/>
    <x v="4"/>
    <x v="1"/>
    <s v="Deluxe"/>
    <s v="Family"/>
    <s v="Corporate"/>
    <n v="5500"/>
    <n v="5"/>
    <n v="27500"/>
    <s v="Occupied"/>
    <n v="3"/>
    <s v="No"/>
  </r>
  <r>
    <s v="B0219"/>
    <s v="2025-12-13"/>
    <s v="2026-01-07"/>
    <s v="2026-01-14"/>
    <x v="2"/>
    <x v="1"/>
    <s v="Deluxe"/>
    <s v="Business"/>
    <s v="Travel Agent"/>
    <n v="9000"/>
    <n v="7"/>
    <n v="63000"/>
    <s v="Occupied"/>
    <n v="5"/>
    <s v="No"/>
  </r>
  <r>
    <s v="B0220"/>
    <s v="2025-05-23"/>
    <s v="2025-06-10"/>
    <s v="2025-06-13"/>
    <x v="2"/>
    <x v="3"/>
    <s v="Suite"/>
    <s v="Family"/>
    <s v="Walk-in"/>
    <n v="3500"/>
    <n v="3"/>
    <n v="10500"/>
    <s v="Cancelled"/>
    <n v="3"/>
    <s v="Yes"/>
  </r>
  <r>
    <s v="B0221"/>
    <s v="2025-06-12"/>
    <s v="2025-06-28"/>
    <s v="2025-07-01"/>
    <x v="2"/>
    <x v="0"/>
    <s v="Suite"/>
    <s v="Family"/>
    <s v="Walk-in"/>
    <n v="7000"/>
    <n v="3"/>
    <n v="21000"/>
    <s v="Cancelled"/>
    <n v="3"/>
    <s v="Yes"/>
  </r>
  <r>
    <s v="B0222"/>
    <s v="2025-07-22"/>
    <s v="2025-08-18"/>
    <s v="2025-08-21"/>
    <x v="3"/>
    <x v="4"/>
    <s v="Deluxe"/>
    <s v="Family"/>
    <s v="Corporate"/>
    <n v="3500"/>
    <n v="3"/>
    <n v="10500"/>
    <s v="Occupied"/>
    <n v="4"/>
    <s v="No"/>
  </r>
  <r>
    <s v="B0223"/>
    <s v="2025-09-03"/>
    <s v="2025-09-10"/>
    <s v="2025-09-12"/>
    <x v="2"/>
    <x v="3"/>
    <s v="Standard"/>
    <s v="Family"/>
    <s v="Travel Agent"/>
    <n v="7000"/>
    <n v="2"/>
    <n v="14000"/>
    <s v="Occupied"/>
    <n v="5"/>
    <s v="No"/>
  </r>
  <r>
    <s v="B0224"/>
    <s v="2025-05-05"/>
    <s v="2025-05-07"/>
    <s v="2025-05-13"/>
    <x v="3"/>
    <x v="0"/>
    <s v="Deluxe"/>
    <s v="Leisure"/>
    <s v="Walk-in"/>
    <n v="7000"/>
    <n v="6"/>
    <n v="42000"/>
    <s v="Occupied"/>
    <n v="3"/>
    <s v="No"/>
  </r>
  <r>
    <s v="B0225"/>
    <s v="2025-02-21"/>
    <s v="2025-03-15"/>
    <s v="2025-03-22"/>
    <x v="0"/>
    <x v="2"/>
    <s v="Suite"/>
    <s v="Leisure"/>
    <s v="Walk-in"/>
    <n v="3500"/>
    <n v="7"/>
    <n v="24500"/>
    <s v="Occupied"/>
    <n v="5"/>
    <s v="No"/>
  </r>
  <r>
    <s v="B0226"/>
    <s v="2025-11-30"/>
    <s v="2025-12-07"/>
    <s v="2025-12-14"/>
    <x v="3"/>
    <x v="0"/>
    <s v="Suite"/>
    <s v="Family"/>
    <s v="Travel Agent"/>
    <n v="4500"/>
    <n v="7"/>
    <n v="31500"/>
    <s v="Occupied"/>
    <n v="5"/>
    <s v="No"/>
  </r>
  <r>
    <s v="B0227"/>
    <s v="2025-10-01"/>
    <s v="2025-10-25"/>
    <s v="2025-10-31"/>
    <x v="4"/>
    <x v="3"/>
    <s v="Standard"/>
    <s v="Leisure"/>
    <s v="Walk-in"/>
    <n v="2500"/>
    <n v="6"/>
    <n v="15000"/>
    <s v="Cancelled"/>
    <n v="2"/>
    <s v="Yes"/>
  </r>
  <r>
    <s v="B0228"/>
    <s v="2025-04-06"/>
    <s v="2025-05-06"/>
    <s v="2025-05-12"/>
    <x v="2"/>
    <x v="1"/>
    <s v="Suite"/>
    <s v="Business"/>
    <s v="Corporate"/>
    <n v="4500"/>
    <n v="6"/>
    <n v="27000"/>
    <s v="Cancelled"/>
    <n v="1"/>
    <s v="Yes"/>
  </r>
  <r>
    <s v="B0229"/>
    <s v="2025-05-26"/>
    <s v="2025-06-10"/>
    <s v="2025-06-16"/>
    <x v="1"/>
    <x v="2"/>
    <s v="Deluxe"/>
    <s v="Business"/>
    <s v="Online"/>
    <n v="7000"/>
    <n v="6"/>
    <n v="42000"/>
    <s v="Occupied"/>
    <n v="3"/>
    <s v="No"/>
  </r>
  <r>
    <s v="B0230"/>
    <s v="2025-06-19"/>
    <s v="2025-06-25"/>
    <s v="2025-07-01"/>
    <x v="0"/>
    <x v="0"/>
    <s v="Suite"/>
    <s v="Leisure"/>
    <s v="Corporate"/>
    <n v="5500"/>
    <n v="6"/>
    <n v="33000"/>
    <s v="Occupied"/>
    <n v="5"/>
    <s v="No"/>
  </r>
  <r>
    <s v="B0231"/>
    <s v="2025-10-18"/>
    <s v="2025-11-09"/>
    <s v="2025-11-16"/>
    <x v="4"/>
    <x v="2"/>
    <s v="Suite"/>
    <s v="Leisure"/>
    <s v="Online"/>
    <n v="3500"/>
    <n v="7"/>
    <n v="24500"/>
    <s v="Occupied"/>
    <n v="5"/>
    <s v="No"/>
  </r>
  <r>
    <s v="B0232"/>
    <s v="2025-07-25"/>
    <s v="2025-08-16"/>
    <s v="2025-08-17"/>
    <x v="2"/>
    <x v="3"/>
    <s v="Standard"/>
    <s v="Leisure"/>
    <s v="Walk-in"/>
    <n v="3500"/>
    <n v="1"/>
    <n v="3500"/>
    <s v="Cancelled"/>
    <n v="4"/>
    <s v="Yes"/>
  </r>
  <r>
    <s v="B0233"/>
    <s v="2025-05-01"/>
    <s v="2025-05-16"/>
    <s v="2025-05-23"/>
    <x v="1"/>
    <x v="1"/>
    <s v="Standard"/>
    <s v="Leisure"/>
    <s v="Corporate"/>
    <n v="4500"/>
    <n v="7"/>
    <n v="31500"/>
    <s v="Cancelled"/>
    <n v="3"/>
    <s v="Yes"/>
  </r>
  <r>
    <s v="B0234"/>
    <s v="2025-12-21"/>
    <s v="2025-12-29"/>
    <s v="2025-12-30"/>
    <x v="0"/>
    <x v="2"/>
    <s v="Suite"/>
    <s v="Family"/>
    <s v="Corporate"/>
    <n v="9000"/>
    <n v="1"/>
    <n v="9000"/>
    <s v="Occupied"/>
    <n v="4"/>
    <s v="No"/>
  </r>
  <r>
    <s v="B0235"/>
    <s v="2025-12-20"/>
    <s v="2025-12-24"/>
    <s v="2025-12-30"/>
    <x v="0"/>
    <x v="3"/>
    <s v="Deluxe"/>
    <s v="Business"/>
    <s v="Walk-in"/>
    <n v="4500"/>
    <n v="6"/>
    <n v="27000"/>
    <s v="Occupied"/>
    <n v="3"/>
    <s v="No"/>
  </r>
  <r>
    <s v="B0236"/>
    <s v="2025-11-07"/>
    <s v="2025-11-19"/>
    <s v="2025-11-23"/>
    <x v="1"/>
    <x v="3"/>
    <s v="Standard"/>
    <s v="Family"/>
    <s v="Online"/>
    <n v="9000"/>
    <n v="4"/>
    <n v="36000"/>
    <s v="Occupied"/>
    <n v="4"/>
    <s v="No"/>
  </r>
  <r>
    <s v="B0237"/>
    <s v="2025-09-27"/>
    <s v="2025-10-12"/>
    <s v="2025-10-17"/>
    <x v="3"/>
    <x v="0"/>
    <s v="Suite"/>
    <s v="Family"/>
    <s v="Travel Agent"/>
    <n v="9000"/>
    <n v="5"/>
    <n v="45000"/>
    <s v="Occupied"/>
    <n v="5"/>
    <s v="No"/>
  </r>
  <r>
    <s v="B0238"/>
    <s v="2025-10-21"/>
    <s v="2025-11-08"/>
    <s v="2025-11-10"/>
    <x v="4"/>
    <x v="0"/>
    <s v="Suite"/>
    <s v="Business"/>
    <s v="Walk-in"/>
    <n v="3500"/>
    <n v="2"/>
    <n v="7000"/>
    <s v="Occupied"/>
    <n v="5"/>
    <s v="No"/>
  </r>
  <r>
    <s v="B0239"/>
    <s v="2025-02-16"/>
    <s v="2025-03-17"/>
    <s v="2025-03-22"/>
    <x v="0"/>
    <x v="1"/>
    <s v="Deluxe"/>
    <s v="Leisure"/>
    <s v="Online"/>
    <n v="5500"/>
    <n v="5"/>
    <n v="27500"/>
    <s v="Occupied"/>
    <n v="4"/>
    <s v="No"/>
  </r>
  <r>
    <s v="B0240"/>
    <s v="2025-10-14"/>
    <s v="2025-10-29"/>
    <s v="2025-11-04"/>
    <x v="2"/>
    <x v="0"/>
    <s v="Suite"/>
    <s v="Business"/>
    <s v="Online"/>
    <n v="4500"/>
    <n v="6"/>
    <n v="27000"/>
    <s v="Occupied"/>
    <n v="4"/>
    <s v="No"/>
  </r>
  <r>
    <s v="B0241"/>
    <s v="2025-01-24"/>
    <s v="2025-02-07"/>
    <s v="2025-02-10"/>
    <x v="3"/>
    <x v="2"/>
    <s v="Standard"/>
    <s v="Leisure"/>
    <s v="Walk-in"/>
    <n v="9000"/>
    <n v="3"/>
    <n v="27000"/>
    <s v="Occupied"/>
    <n v="3"/>
    <s v="No"/>
  </r>
  <r>
    <s v="B0242"/>
    <s v="2025-04-03"/>
    <s v="2025-04-28"/>
    <s v="2025-04-30"/>
    <x v="2"/>
    <x v="2"/>
    <s v="Deluxe"/>
    <s v="Leisure"/>
    <s v="Walk-in"/>
    <n v="9000"/>
    <n v="2"/>
    <n v="18000"/>
    <s v="Cancelled"/>
    <n v="4"/>
    <s v="Yes"/>
  </r>
  <r>
    <s v="B0243"/>
    <s v="2025-02-11"/>
    <s v="2025-03-05"/>
    <s v="2025-03-11"/>
    <x v="3"/>
    <x v="3"/>
    <s v="Suite"/>
    <s v="Leisure"/>
    <s v="Travel Agent"/>
    <n v="7000"/>
    <n v="6"/>
    <n v="42000"/>
    <s v="Occupied"/>
    <n v="4"/>
    <s v="No"/>
  </r>
  <r>
    <s v="B0244"/>
    <s v="2025-04-25"/>
    <s v="2025-05-22"/>
    <s v="2025-05-23"/>
    <x v="1"/>
    <x v="2"/>
    <s v="Suite"/>
    <s v="Leisure"/>
    <s v="Travel Agent"/>
    <n v="2500"/>
    <n v="1"/>
    <n v="2500"/>
    <s v="Cancelled"/>
    <n v="4"/>
    <s v="Yes"/>
  </r>
  <r>
    <s v="B0245"/>
    <s v="2025-05-07"/>
    <s v="2025-05-22"/>
    <s v="2025-05-25"/>
    <x v="3"/>
    <x v="0"/>
    <s v="Suite"/>
    <s v="Leisure"/>
    <s v="Online"/>
    <n v="3500"/>
    <n v="3"/>
    <n v="10500"/>
    <s v="Occupied"/>
    <n v="5"/>
    <s v="No"/>
  </r>
  <r>
    <s v="B0246"/>
    <s v="2025-05-04"/>
    <s v="2025-05-11"/>
    <s v="2025-05-12"/>
    <x v="1"/>
    <x v="0"/>
    <s v="Standard"/>
    <s v="Family"/>
    <s v="Online"/>
    <n v="2500"/>
    <n v="1"/>
    <n v="2500"/>
    <s v="Occupied"/>
    <n v="4"/>
    <s v="No"/>
  </r>
  <r>
    <s v="B0247"/>
    <s v="2025-07-25"/>
    <s v="2025-08-09"/>
    <s v="2025-08-11"/>
    <x v="0"/>
    <x v="1"/>
    <s v="Deluxe"/>
    <s v="Business"/>
    <s v="Corporate"/>
    <n v="7000"/>
    <n v="2"/>
    <n v="14000"/>
    <s v="Occupied"/>
    <n v="3"/>
    <s v="No"/>
  </r>
  <r>
    <s v="B0248"/>
    <s v="2025-10-23"/>
    <s v="2025-11-12"/>
    <s v="2025-11-19"/>
    <x v="2"/>
    <x v="3"/>
    <s v="Suite"/>
    <s v="Family"/>
    <s v="Travel Agent"/>
    <n v="9000"/>
    <n v="7"/>
    <n v="63000"/>
    <s v="Occupied"/>
    <n v="3"/>
    <s v="No"/>
  </r>
  <r>
    <s v="B0249"/>
    <s v="2025-07-31"/>
    <s v="2025-08-10"/>
    <s v="2025-08-13"/>
    <x v="0"/>
    <x v="2"/>
    <s v="Suite"/>
    <s v="Leisure"/>
    <s v="Online"/>
    <n v="2500"/>
    <n v="3"/>
    <n v="7500"/>
    <s v="Occupied"/>
    <n v="5"/>
    <s v="No"/>
  </r>
  <r>
    <s v="B0250"/>
    <s v="2025-06-26"/>
    <s v="2025-07-17"/>
    <s v="2025-07-23"/>
    <x v="4"/>
    <x v="2"/>
    <s v="Standard"/>
    <s v="Leisure"/>
    <s v="Walk-in"/>
    <n v="5500"/>
    <n v="6"/>
    <n v="33000"/>
    <s v="Occupied"/>
    <n v="4"/>
    <s v="No"/>
  </r>
  <r>
    <s v="B0251"/>
    <s v="2025-04-05"/>
    <s v="2025-04-30"/>
    <s v="2025-05-05"/>
    <x v="2"/>
    <x v="3"/>
    <s v="Deluxe"/>
    <s v="Business"/>
    <s v="Walk-in"/>
    <n v="5500"/>
    <n v="5"/>
    <n v="27500"/>
    <s v="Occupied"/>
    <n v="3"/>
    <s v="No"/>
  </r>
  <r>
    <s v="B0252"/>
    <s v="2025-08-02"/>
    <s v="2025-08-20"/>
    <s v="2025-08-25"/>
    <x v="0"/>
    <x v="4"/>
    <s v="Suite"/>
    <s v="Business"/>
    <s v="Walk-in"/>
    <n v="3500"/>
    <n v="5"/>
    <n v="17500"/>
    <s v="Occupied"/>
    <n v="4"/>
    <s v="No"/>
  </r>
  <r>
    <s v="B0253"/>
    <s v="2025-07-09"/>
    <s v="2025-07-12"/>
    <s v="2025-07-17"/>
    <x v="2"/>
    <x v="2"/>
    <s v="Suite"/>
    <s v="Family"/>
    <s v="Online"/>
    <n v="9000"/>
    <n v="5"/>
    <n v="45000"/>
    <s v="Occupied"/>
    <n v="3"/>
    <s v="No"/>
  </r>
  <r>
    <s v="B0254"/>
    <s v="2025-02-07"/>
    <s v="2025-02-14"/>
    <s v="2025-02-21"/>
    <x v="0"/>
    <x v="2"/>
    <s v="Standard"/>
    <s v="Leisure"/>
    <s v="Corporate"/>
    <n v="7000"/>
    <n v="7"/>
    <n v="49000"/>
    <s v="Occupied"/>
    <n v="5"/>
    <s v="No"/>
  </r>
  <r>
    <s v="B0255"/>
    <s v="2025-01-08"/>
    <s v="2025-01-15"/>
    <s v="2025-01-17"/>
    <x v="0"/>
    <x v="1"/>
    <s v="Suite"/>
    <s v="Business"/>
    <s v="Walk-in"/>
    <n v="9000"/>
    <n v="2"/>
    <n v="18000"/>
    <s v="Occupied"/>
    <n v="4"/>
    <s v="No"/>
  </r>
  <r>
    <s v="B0256"/>
    <s v="2025-05-03"/>
    <s v="2025-05-21"/>
    <s v="2025-05-24"/>
    <x v="2"/>
    <x v="4"/>
    <s v="Deluxe"/>
    <s v="Leisure"/>
    <s v="Walk-in"/>
    <n v="4500"/>
    <n v="3"/>
    <n v="13500"/>
    <s v="Occupied"/>
    <n v="5"/>
    <s v="No"/>
  </r>
  <r>
    <s v="B0257"/>
    <s v="2025-08-27"/>
    <s v="2025-08-31"/>
    <s v="2025-09-07"/>
    <x v="0"/>
    <x v="4"/>
    <s v="Deluxe"/>
    <s v="Leisure"/>
    <s v="Online"/>
    <n v="9000"/>
    <n v="7"/>
    <n v="63000"/>
    <s v="Occupied"/>
    <n v="4"/>
    <s v="No"/>
  </r>
  <r>
    <s v="B0258"/>
    <s v="2025-10-16"/>
    <s v="2025-11-13"/>
    <s v="2025-11-15"/>
    <x v="1"/>
    <x v="1"/>
    <s v="Suite"/>
    <s v="Family"/>
    <s v="Walk-in"/>
    <n v="9000"/>
    <n v="2"/>
    <n v="18000"/>
    <s v="Occupied"/>
    <n v="4"/>
    <s v="No"/>
  </r>
  <r>
    <s v="B0259"/>
    <s v="2025-06-01"/>
    <s v="2025-06-06"/>
    <s v="2025-06-08"/>
    <x v="0"/>
    <x v="2"/>
    <s v="Suite"/>
    <s v="Family"/>
    <s v="Corporate"/>
    <n v="4500"/>
    <n v="2"/>
    <n v="9000"/>
    <s v="Occupied"/>
    <n v="5"/>
    <s v="No"/>
  </r>
  <r>
    <s v="B0260"/>
    <s v="2025-05-12"/>
    <s v="2025-06-06"/>
    <s v="2025-06-13"/>
    <x v="4"/>
    <x v="3"/>
    <s v="Suite"/>
    <s v="Leisure"/>
    <s v="Travel Agent"/>
    <n v="5500"/>
    <n v="7"/>
    <n v="38500"/>
    <s v="Cancelled"/>
    <n v="4"/>
    <s v="Yes"/>
  </r>
  <r>
    <s v="B0261"/>
    <s v="2025-03-13"/>
    <s v="2025-04-06"/>
    <s v="2025-04-11"/>
    <x v="3"/>
    <x v="1"/>
    <s v="Standard"/>
    <s v="Business"/>
    <s v="Online"/>
    <n v="5500"/>
    <n v="5"/>
    <n v="27500"/>
    <s v="Occupied"/>
    <n v="5"/>
    <s v="No"/>
  </r>
  <r>
    <s v="B0262"/>
    <s v="2025-01-04"/>
    <s v="2025-01-18"/>
    <s v="2025-01-20"/>
    <x v="0"/>
    <x v="0"/>
    <s v="Standard"/>
    <s v="Family"/>
    <s v="Walk-in"/>
    <n v="9000"/>
    <n v="2"/>
    <n v="18000"/>
    <s v="Occupied"/>
    <n v="5"/>
    <s v="No"/>
  </r>
  <r>
    <s v="B0263"/>
    <s v="2025-07-11"/>
    <s v="2025-07-13"/>
    <s v="2025-07-18"/>
    <x v="4"/>
    <x v="2"/>
    <s v="Standard"/>
    <s v="Business"/>
    <s v="Walk-in"/>
    <n v="9000"/>
    <n v="5"/>
    <n v="45000"/>
    <s v="Occupied"/>
    <n v="5"/>
    <s v="No"/>
  </r>
  <r>
    <s v="B0264"/>
    <s v="2025-01-07"/>
    <s v="2025-01-08"/>
    <s v="2025-01-13"/>
    <x v="3"/>
    <x v="1"/>
    <s v="Suite"/>
    <s v="Family"/>
    <s v="Walk-in"/>
    <n v="9000"/>
    <n v="5"/>
    <n v="45000"/>
    <s v="Occupied"/>
    <n v="4"/>
    <s v="No"/>
  </r>
  <r>
    <s v="B0265"/>
    <s v="2025-04-02"/>
    <s v="2025-04-06"/>
    <s v="2025-04-07"/>
    <x v="1"/>
    <x v="1"/>
    <s v="Deluxe"/>
    <s v="Leisure"/>
    <s v="Corporate"/>
    <n v="7000"/>
    <n v="1"/>
    <n v="7000"/>
    <s v="Occupied"/>
    <n v="3"/>
    <s v="No"/>
  </r>
  <r>
    <s v="B0266"/>
    <s v="2025-07-23"/>
    <s v="2025-07-26"/>
    <s v="2025-07-29"/>
    <x v="0"/>
    <x v="4"/>
    <s v="Suite"/>
    <s v="Business"/>
    <s v="Online"/>
    <n v="5500"/>
    <n v="3"/>
    <n v="16500"/>
    <s v="Occupied"/>
    <n v="3"/>
    <s v="No"/>
  </r>
  <r>
    <s v="B0267"/>
    <s v="2025-02-17"/>
    <s v="2025-03-02"/>
    <s v="2025-03-06"/>
    <x v="3"/>
    <x v="3"/>
    <s v="Standard"/>
    <s v="Leisure"/>
    <s v="Walk-in"/>
    <n v="5500"/>
    <n v="4"/>
    <n v="22000"/>
    <s v="Occupied"/>
    <n v="3"/>
    <s v="No"/>
  </r>
  <r>
    <s v="B0268"/>
    <s v="2025-11-27"/>
    <s v="2025-12-23"/>
    <s v="2025-12-26"/>
    <x v="1"/>
    <x v="0"/>
    <s v="Standard"/>
    <s v="Business"/>
    <s v="Walk-in"/>
    <n v="7000"/>
    <n v="3"/>
    <n v="21000"/>
    <s v="Cancelled"/>
    <n v="1"/>
    <s v="Yes"/>
  </r>
  <r>
    <s v="B0269"/>
    <s v="2025-05-19"/>
    <s v="2025-05-21"/>
    <s v="2025-05-22"/>
    <x v="0"/>
    <x v="4"/>
    <s v="Standard"/>
    <s v="Business"/>
    <s v="Travel Agent"/>
    <n v="9000"/>
    <n v="1"/>
    <n v="9000"/>
    <s v="Cancelled"/>
    <n v="1"/>
    <s v="Yes"/>
  </r>
  <r>
    <s v="B0270"/>
    <s v="2025-12-31"/>
    <s v="2026-01-27"/>
    <s v="2026-01-31"/>
    <x v="0"/>
    <x v="1"/>
    <s v="Deluxe"/>
    <s v="Family"/>
    <s v="Corporate"/>
    <n v="2500"/>
    <n v="4"/>
    <n v="10000"/>
    <s v="Occupied"/>
    <n v="5"/>
    <s v="No"/>
  </r>
  <r>
    <s v="B0271"/>
    <s v="2025-07-16"/>
    <s v="2025-08-10"/>
    <s v="2025-08-16"/>
    <x v="3"/>
    <x v="1"/>
    <s v="Suite"/>
    <s v="Leisure"/>
    <s v="Online"/>
    <n v="3500"/>
    <n v="6"/>
    <n v="21000"/>
    <s v="Occupied"/>
    <n v="5"/>
    <s v="No"/>
  </r>
  <r>
    <s v="B0272"/>
    <s v="2025-02-20"/>
    <s v="2025-03-06"/>
    <s v="2025-03-08"/>
    <x v="1"/>
    <x v="2"/>
    <s v="Deluxe"/>
    <s v="Business"/>
    <s v="Corporate"/>
    <n v="2500"/>
    <n v="2"/>
    <n v="5000"/>
    <s v="Occupied"/>
    <n v="5"/>
    <s v="No"/>
  </r>
  <r>
    <s v="B0273"/>
    <s v="2025-08-19"/>
    <s v="2025-09-04"/>
    <s v="2025-09-06"/>
    <x v="4"/>
    <x v="3"/>
    <s v="Suite"/>
    <s v="Family"/>
    <s v="Walk-in"/>
    <n v="4500"/>
    <n v="2"/>
    <n v="9000"/>
    <s v="Occupied"/>
    <n v="4"/>
    <s v="No"/>
  </r>
  <r>
    <s v="B0274"/>
    <s v="2025-02-13"/>
    <s v="2025-03-10"/>
    <s v="2025-03-15"/>
    <x v="3"/>
    <x v="0"/>
    <s v="Deluxe"/>
    <s v="Business"/>
    <s v="Walk-in"/>
    <n v="4500"/>
    <n v="5"/>
    <n v="22500"/>
    <s v="Occupied"/>
    <n v="5"/>
    <s v="No"/>
  </r>
  <r>
    <s v="B0275"/>
    <s v="2025-12-31"/>
    <s v="2026-01-26"/>
    <s v="2026-02-01"/>
    <x v="2"/>
    <x v="0"/>
    <s v="Standard"/>
    <s v="Business"/>
    <s v="Corporate"/>
    <n v="3500"/>
    <n v="6"/>
    <n v="21000"/>
    <s v="Occupied"/>
    <n v="4"/>
    <s v="No"/>
  </r>
  <r>
    <s v="B0276"/>
    <s v="2025-08-16"/>
    <s v="2025-08-28"/>
    <s v="2025-09-04"/>
    <x v="0"/>
    <x v="2"/>
    <s v="Deluxe"/>
    <s v="Family"/>
    <s v="Walk-in"/>
    <n v="4500"/>
    <n v="7"/>
    <n v="31500"/>
    <s v="Occupied"/>
    <n v="3"/>
    <s v="No"/>
  </r>
  <r>
    <s v="B0277"/>
    <s v="2025-02-22"/>
    <s v="2025-02-23"/>
    <s v="2025-02-24"/>
    <x v="1"/>
    <x v="4"/>
    <s v="Deluxe"/>
    <s v="Business"/>
    <s v="Corporate"/>
    <n v="4500"/>
    <n v="1"/>
    <n v="4500"/>
    <s v="Occupied"/>
    <n v="5"/>
    <s v="No"/>
  </r>
  <r>
    <s v="B0278"/>
    <s v="2025-07-31"/>
    <s v="2025-08-13"/>
    <s v="2025-08-20"/>
    <x v="0"/>
    <x v="1"/>
    <s v="Suite"/>
    <s v="Business"/>
    <s v="Walk-in"/>
    <n v="2500"/>
    <n v="7"/>
    <n v="17500"/>
    <s v="Occupied"/>
    <n v="5"/>
    <s v="No"/>
  </r>
  <r>
    <s v="B0279"/>
    <s v="2025-03-28"/>
    <s v="2025-04-02"/>
    <s v="2025-04-05"/>
    <x v="3"/>
    <x v="3"/>
    <s v="Deluxe"/>
    <s v="Leisure"/>
    <s v="Walk-in"/>
    <n v="4500"/>
    <n v="3"/>
    <n v="13500"/>
    <s v="Occupied"/>
    <n v="3"/>
    <s v="No"/>
  </r>
  <r>
    <s v="B0280"/>
    <s v="2025-06-03"/>
    <s v="2025-06-19"/>
    <s v="2025-06-26"/>
    <x v="4"/>
    <x v="1"/>
    <s v="Suite"/>
    <s v="Business"/>
    <s v="Walk-in"/>
    <n v="2500"/>
    <n v="7"/>
    <n v="17500"/>
    <s v="Occupied"/>
    <n v="3"/>
    <s v="No"/>
  </r>
  <r>
    <s v="B0281"/>
    <s v="2025-02-24"/>
    <s v="2025-03-01"/>
    <s v="2025-03-04"/>
    <x v="1"/>
    <x v="2"/>
    <s v="Deluxe"/>
    <s v="Leisure"/>
    <s v="Corporate"/>
    <n v="2500"/>
    <n v="3"/>
    <n v="7500"/>
    <s v="Cancelled"/>
    <n v="3"/>
    <s v="Yes"/>
  </r>
  <r>
    <s v="B0282"/>
    <s v="2025-08-09"/>
    <s v="2025-09-05"/>
    <s v="2025-09-12"/>
    <x v="2"/>
    <x v="4"/>
    <s v="Suite"/>
    <s v="Family"/>
    <s v="Travel Agent"/>
    <n v="9000"/>
    <n v="7"/>
    <n v="63000"/>
    <s v="Cancelled"/>
    <n v="2"/>
    <s v="Yes"/>
  </r>
  <r>
    <s v="B0283"/>
    <s v="2025-09-03"/>
    <s v="2025-09-14"/>
    <s v="2025-09-16"/>
    <x v="4"/>
    <x v="1"/>
    <s v="Standard"/>
    <s v="Leisure"/>
    <s v="Walk-in"/>
    <n v="5500"/>
    <n v="2"/>
    <n v="11000"/>
    <s v="Cancelled"/>
    <n v="3"/>
    <s v="Yes"/>
  </r>
  <r>
    <s v="B0284"/>
    <s v="2025-05-24"/>
    <s v="2025-06-20"/>
    <s v="2025-06-27"/>
    <x v="0"/>
    <x v="1"/>
    <s v="Suite"/>
    <s v="Business"/>
    <s v="Online"/>
    <n v="5500"/>
    <n v="7"/>
    <n v="38500"/>
    <s v="Occupied"/>
    <n v="5"/>
    <s v="No"/>
  </r>
  <r>
    <s v="B0285"/>
    <s v="2025-08-25"/>
    <s v="2025-09-17"/>
    <s v="2025-09-19"/>
    <x v="3"/>
    <x v="2"/>
    <s v="Suite"/>
    <s v="Leisure"/>
    <s v="Travel Agent"/>
    <n v="5500"/>
    <n v="2"/>
    <n v="11000"/>
    <s v="Occupied"/>
    <n v="5"/>
    <s v="No"/>
  </r>
  <r>
    <s v="B0286"/>
    <s v="2025-11-21"/>
    <s v="2025-12-01"/>
    <s v="2025-12-03"/>
    <x v="4"/>
    <x v="2"/>
    <s v="Standard"/>
    <s v="Leisure"/>
    <s v="Walk-in"/>
    <n v="4500"/>
    <n v="2"/>
    <n v="9000"/>
    <s v="Occupied"/>
    <n v="5"/>
    <s v="No"/>
  </r>
  <r>
    <s v="B0287"/>
    <s v="2025-10-26"/>
    <s v="2025-11-08"/>
    <s v="2025-11-13"/>
    <x v="1"/>
    <x v="0"/>
    <s v="Deluxe"/>
    <s v="Family"/>
    <s v="Online"/>
    <n v="7000"/>
    <n v="5"/>
    <n v="35000"/>
    <s v="Cancelled"/>
    <n v="4"/>
    <s v="Yes"/>
  </r>
  <r>
    <s v="B0288"/>
    <s v="2025-02-25"/>
    <s v="2025-03-22"/>
    <s v="2025-03-24"/>
    <x v="1"/>
    <x v="0"/>
    <s v="Suite"/>
    <s v="Family"/>
    <s v="Walk-in"/>
    <n v="9000"/>
    <n v="2"/>
    <n v="18000"/>
    <s v="Occupied"/>
    <n v="3"/>
    <s v="No"/>
  </r>
  <r>
    <s v="B0289"/>
    <s v="2025-06-19"/>
    <s v="2025-07-15"/>
    <s v="2025-07-19"/>
    <x v="0"/>
    <x v="1"/>
    <s v="Suite"/>
    <s v="Family"/>
    <s v="Travel Agent"/>
    <n v="2500"/>
    <n v="4"/>
    <n v="10000"/>
    <s v="Occupied"/>
    <n v="4"/>
    <s v="No"/>
  </r>
  <r>
    <s v="B0290"/>
    <s v="2025-08-17"/>
    <s v="2025-08-29"/>
    <s v="2025-09-02"/>
    <x v="1"/>
    <x v="3"/>
    <s v="Deluxe"/>
    <s v="Business"/>
    <s v="Walk-in"/>
    <n v="5500"/>
    <n v="4"/>
    <n v="22000"/>
    <s v="Occupied"/>
    <n v="5"/>
    <s v="No"/>
  </r>
  <r>
    <s v="B0291"/>
    <s v="2025-02-23"/>
    <s v="2025-03-05"/>
    <s v="2025-03-09"/>
    <x v="0"/>
    <x v="4"/>
    <s v="Deluxe"/>
    <s v="Leisure"/>
    <s v="Walk-in"/>
    <n v="2500"/>
    <n v="4"/>
    <n v="10000"/>
    <s v="Occupied"/>
    <n v="5"/>
    <s v="No"/>
  </r>
  <r>
    <s v="B0292"/>
    <s v="2025-04-16"/>
    <s v="2025-05-03"/>
    <s v="2025-05-07"/>
    <x v="4"/>
    <x v="4"/>
    <s v="Standard"/>
    <s v="Leisure"/>
    <s v="Online"/>
    <n v="4500"/>
    <n v="4"/>
    <n v="18000"/>
    <s v="Occupied"/>
    <n v="4"/>
    <s v="No"/>
  </r>
  <r>
    <s v="B0293"/>
    <s v="2025-12-30"/>
    <s v="2026-01-03"/>
    <s v="2026-01-04"/>
    <x v="0"/>
    <x v="3"/>
    <s v="Suite"/>
    <s v="Business"/>
    <s v="Travel Agent"/>
    <n v="4500"/>
    <n v="1"/>
    <n v="4500"/>
    <s v="Occupied"/>
    <n v="5"/>
    <s v="No"/>
  </r>
  <r>
    <s v="B0294"/>
    <s v="2025-06-19"/>
    <s v="2025-07-07"/>
    <s v="2025-07-11"/>
    <x v="0"/>
    <x v="3"/>
    <s v="Suite"/>
    <s v="Family"/>
    <s v="Walk-in"/>
    <n v="5500"/>
    <n v="4"/>
    <n v="22000"/>
    <s v="Occupied"/>
    <n v="4"/>
    <s v="No"/>
  </r>
  <r>
    <s v="B0295"/>
    <s v="2025-07-22"/>
    <s v="2025-07-23"/>
    <s v="2025-07-29"/>
    <x v="1"/>
    <x v="2"/>
    <s v="Deluxe"/>
    <s v="Business"/>
    <s v="Travel Agent"/>
    <n v="7000"/>
    <n v="6"/>
    <n v="42000"/>
    <s v="Cancelled"/>
    <n v="4"/>
    <s v="Yes"/>
  </r>
  <r>
    <s v="B0296"/>
    <s v="2025-04-16"/>
    <s v="2025-04-25"/>
    <s v="2025-05-02"/>
    <x v="1"/>
    <x v="0"/>
    <s v="Suite"/>
    <s v="Business"/>
    <s v="Corporate"/>
    <n v="9000"/>
    <n v="7"/>
    <n v="63000"/>
    <s v="Occupied"/>
    <n v="3"/>
    <s v="No"/>
  </r>
  <r>
    <s v="B0297"/>
    <s v="2025-06-16"/>
    <s v="2025-06-23"/>
    <s v="2025-06-27"/>
    <x v="1"/>
    <x v="4"/>
    <s v="Suite"/>
    <s v="Leisure"/>
    <s v="Walk-in"/>
    <n v="2500"/>
    <n v="4"/>
    <n v="10000"/>
    <s v="Occupied"/>
    <n v="4"/>
    <s v="No"/>
  </r>
  <r>
    <s v="B0298"/>
    <s v="2025-10-28"/>
    <s v="2025-11-01"/>
    <s v="2025-11-04"/>
    <x v="0"/>
    <x v="4"/>
    <s v="Suite"/>
    <s v="Family"/>
    <s v="Online"/>
    <n v="4500"/>
    <n v="3"/>
    <n v="13500"/>
    <s v="Occupied"/>
    <n v="5"/>
    <s v="No"/>
  </r>
  <r>
    <s v="B0299"/>
    <s v="2025-12-11"/>
    <s v="2025-12-16"/>
    <s v="2025-12-19"/>
    <x v="0"/>
    <x v="4"/>
    <s v="Suite"/>
    <s v="Business"/>
    <s v="Walk-in"/>
    <n v="2500"/>
    <n v="3"/>
    <n v="7500"/>
    <s v="Occupied"/>
    <n v="3"/>
    <s v="No"/>
  </r>
  <r>
    <s v="B0300"/>
    <s v="2025-08-03"/>
    <s v="2025-08-23"/>
    <s v="2025-08-25"/>
    <x v="4"/>
    <x v="1"/>
    <s v="Suite"/>
    <s v="Family"/>
    <s v="Travel Agent"/>
    <n v="7000"/>
    <n v="2"/>
    <n v="14000"/>
    <s v="Occupied"/>
    <n v="3"/>
    <s v="No"/>
  </r>
  <r>
    <s v="B0301"/>
    <s v="2025-10-12"/>
    <s v="2025-10-18"/>
    <s v="2025-10-22"/>
    <x v="4"/>
    <x v="1"/>
    <s v="Standard"/>
    <s v="Leisure"/>
    <s v="Online"/>
    <n v="4500"/>
    <n v="4"/>
    <n v="18000"/>
    <s v="Occupied"/>
    <n v="4"/>
    <s v="No"/>
  </r>
  <r>
    <s v="B0302"/>
    <s v="2025-09-06"/>
    <s v="2025-09-11"/>
    <s v="2025-09-13"/>
    <x v="4"/>
    <x v="2"/>
    <s v="Deluxe"/>
    <s v="Family"/>
    <s v="Walk-in"/>
    <n v="5500"/>
    <n v="2"/>
    <n v="11000"/>
    <s v="Cancelled"/>
    <n v="4"/>
    <s v="Yes"/>
  </r>
  <r>
    <s v="B0303"/>
    <s v="2025-09-08"/>
    <s v="2025-09-14"/>
    <s v="2025-09-15"/>
    <x v="2"/>
    <x v="0"/>
    <s v="Deluxe"/>
    <s v="Business"/>
    <s v="Corporate"/>
    <n v="7000"/>
    <n v="1"/>
    <n v="7000"/>
    <s v="Occupied"/>
    <n v="3"/>
    <s v="No"/>
  </r>
  <r>
    <s v="B0304"/>
    <s v="2025-03-28"/>
    <s v="2025-04-22"/>
    <s v="2025-04-26"/>
    <x v="1"/>
    <x v="1"/>
    <s v="Standard"/>
    <s v="Family"/>
    <s v="Online"/>
    <n v="7000"/>
    <n v="4"/>
    <n v="28000"/>
    <s v="Occupied"/>
    <n v="4"/>
    <s v="No"/>
  </r>
  <r>
    <s v="B0305"/>
    <s v="2025-05-18"/>
    <s v="2025-06-12"/>
    <s v="2025-06-17"/>
    <x v="4"/>
    <x v="1"/>
    <s v="Standard"/>
    <s v="Leisure"/>
    <s v="Online"/>
    <n v="4500"/>
    <n v="5"/>
    <n v="22500"/>
    <s v="Occupied"/>
    <n v="3"/>
    <s v="No"/>
  </r>
  <r>
    <s v="B0306"/>
    <s v="2025-12-01"/>
    <s v="2025-12-26"/>
    <s v="2025-12-28"/>
    <x v="4"/>
    <x v="4"/>
    <s v="Deluxe"/>
    <s v="Business"/>
    <s v="Walk-in"/>
    <n v="4500"/>
    <n v="2"/>
    <n v="9000"/>
    <s v="Cancelled"/>
    <n v="1"/>
    <s v="Yes"/>
  </r>
  <r>
    <s v="B0307"/>
    <s v="2025-03-02"/>
    <s v="2025-03-27"/>
    <s v="2025-04-03"/>
    <x v="1"/>
    <x v="4"/>
    <s v="Suite"/>
    <s v="Family"/>
    <s v="Walk-in"/>
    <n v="3500"/>
    <n v="7"/>
    <n v="24500"/>
    <s v="Occupied"/>
    <n v="5"/>
    <s v="No"/>
  </r>
  <r>
    <s v="B0308"/>
    <s v="2025-03-26"/>
    <s v="2025-04-15"/>
    <s v="2025-04-17"/>
    <x v="1"/>
    <x v="4"/>
    <s v="Suite"/>
    <s v="Leisure"/>
    <s v="Travel Agent"/>
    <n v="3500"/>
    <n v="2"/>
    <n v="7000"/>
    <s v="Occupied"/>
    <n v="3"/>
    <s v="No"/>
  </r>
  <r>
    <s v="B0309"/>
    <s v="2025-06-15"/>
    <s v="2025-07-08"/>
    <s v="2025-07-11"/>
    <x v="3"/>
    <x v="3"/>
    <s v="Deluxe"/>
    <s v="Business"/>
    <s v="Corporate"/>
    <n v="4500"/>
    <n v="3"/>
    <n v="13500"/>
    <s v="Occupied"/>
    <n v="5"/>
    <s v="No"/>
  </r>
  <r>
    <s v="B0310"/>
    <s v="2025-12-02"/>
    <s v="2025-12-07"/>
    <s v="2025-12-13"/>
    <x v="2"/>
    <x v="3"/>
    <s v="Suite"/>
    <s v="Leisure"/>
    <s v="Walk-in"/>
    <n v="3500"/>
    <n v="6"/>
    <n v="21000"/>
    <s v="Occupied"/>
    <n v="5"/>
    <s v="No"/>
  </r>
  <r>
    <s v="B0311"/>
    <s v="2025-03-14"/>
    <s v="2025-04-02"/>
    <s v="2025-04-08"/>
    <x v="4"/>
    <x v="0"/>
    <s v="Suite"/>
    <s v="Business"/>
    <s v="Walk-in"/>
    <n v="4500"/>
    <n v="6"/>
    <n v="27000"/>
    <s v="Occupied"/>
    <n v="4"/>
    <s v="No"/>
  </r>
  <r>
    <s v="B0312"/>
    <s v="2025-09-21"/>
    <s v="2025-10-15"/>
    <s v="2025-10-18"/>
    <x v="4"/>
    <x v="2"/>
    <s v="Deluxe"/>
    <s v="Family"/>
    <s v="Online"/>
    <n v="9000"/>
    <n v="3"/>
    <n v="27000"/>
    <s v="Cancelled"/>
    <n v="3"/>
    <s v="Yes"/>
  </r>
  <r>
    <s v="B0313"/>
    <s v="2025-02-17"/>
    <s v="2025-03-13"/>
    <s v="2025-03-17"/>
    <x v="3"/>
    <x v="1"/>
    <s v="Deluxe"/>
    <s v="Business"/>
    <s v="Walk-in"/>
    <n v="9000"/>
    <n v="4"/>
    <n v="36000"/>
    <s v="Occupied"/>
    <n v="4"/>
    <s v="No"/>
  </r>
  <r>
    <s v="B0314"/>
    <s v="2025-04-19"/>
    <s v="2025-05-05"/>
    <s v="2025-05-08"/>
    <x v="1"/>
    <x v="1"/>
    <s v="Standard"/>
    <s v="Family"/>
    <s v="Walk-in"/>
    <n v="4500"/>
    <n v="3"/>
    <n v="13500"/>
    <s v="Occupied"/>
    <n v="4"/>
    <s v="No"/>
  </r>
  <r>
    <s v="B0315"/>
    <s v="2025-06-25"/>
    <s v="2025-07-24"/>
    <s v="2025-07-30"/>
    <x v="4"/>
    <x v="0"/>
    <s v="Standard"/>
    <s v="Business"/>
    <s v="Walk-in"/>
    <n v="2500"/>
    <n v="6"/>
    <n v="15000"/>
    <s v="Occupied"/>
    <n v="5"/>
    <s v="No"/>
  </r>
  <r>
    <s v="B0316"/>
    <s v="2025-08-22"/>
    <s v="2025-08-23"/>
    <s v="2025-08-27"/>
    <x v="2"/>
    <x v="3"/>
    <s v="Deluxe"/>
    <s v="Business"/>
    <s v="Corporate"/>
    <n v="3500"/>
    <n v="4"/>
    <n v="14000"/>
    <s v="Cancelled"/>
    <n v="2"/>
    <s v="Yes"/>
  </r>
  <r>
    <s v="B0317"/>
    <s v="2025-05-09"/>
    <s v="2025-05-12"/>
    <s v="2025-05-15"/>
    <x v="3"/>
    <x v="2"/>
    <s v="Suite"/>
    <s v="Leisure"/>
    <s v="Travel Agent"/>
    <n v="9000"/>
    <n v="3"/>
    <n v="27000"/>
    <s v="Cancelled"/>
    <n v="2"/>
    <s v="Yes"/>
  </r>
  <r>
    <s v="B0318"/>
    <s v="2025-08-08"/>
    <s v="2025-08-29"/>
    <s v="2025-08-30"/>
    <x v="4"/>
    <x v="0"/>
    <s v="Standard"/>
    <s v="Family"/>
    <s v="Travel Agent"/>
    <n v="9000"/>
    <n v="1"/>
    <n v="9000"/>
    <s v="Occupied"/>
    <n v="3"/>
    <s v="No"/>
  </r>
  <r>
    <s v="B0319"/>
    <s v="2025-09-23"/>
    <s v="2025-10-15"/>
    <s v="2025-10-19"/>
    <x v="3"/>
    <x v="2"/>
    <s v="Suite"/>
    <s v="Business"/>
    <s v="Walk-in"/>
    <n v="2500"/>
    <n v="4"/>
    <n v="10000"/>
    <s v="Occupied"/>
    <n v="4"/>
    <s v="No"/>
  </r>
  <r>
    <s v="B0320"/>
    <s v="2025-02-06"/>
    <s v="2025-02-14"/>
    <s v="2025-02-18"/>
    <x v="3"/>
    <x v="4"/>
    <s v="Deluxe"/>
    <s v="Leisure"/>
    <s v="Travel Agent"/>
    <n v="2500"/>
    <n v="4"/>
    <n v="10000"/>
    <s v="Occupied"/>
    <n v="3"/>
    <s v="No"/>
  </r>
  <r>
    <s v="B0321"/>
    <s v="2025-07-15"/>
    <s v="2025-08-09"/>
    <s v="2025-08-16"/>
    <x v="0"/>
    <x v="0"/>
    <s v="Suite"/>
    <s v="Family"/>
    <s v="Online"/>
    <n v="3500"/>
    <n v="7"/>
    <n v="24500"/>
    <s v="Occupied"/>
    <n v="5"/>
    <s v="No"/>
  </r>
  <r>
    <s v="B0322"/>
    <s v="2025-11-09"/>
    <s v="2025-11-30"/>
    <s v="2025-12-02"/>
    <x v="0"/>
    <x v="2"/>
    <s v="Suite"/>
    <s v="Family"/>
    <s v="Walk-in"/>
    <n v="5500"/>
    <n v="2"/>
    <n v="11000"/>
    <s v="Occupied"/>
    <n v="3"/>
    <s v="No"/>
  </r>
  <r>
    <s v="B0323"/>
    <s v="2025-04-22"/>
    <s v="2025-04-25"/>
    <s v="2025-04-26"/>
    <x v="4"/>
    <x v="4"/>
    <s v="Deluxe"/>
    <s v="Leisure"/>
    <s v="Travel Agent"/>
    <n v="3500"/>
    <n v="1"/>
    <n v="3500"/>
    <s v="Occupied"/>
    <n v="5"/>
    <s v="No"/>
  </r>
  <r>
    <s v="B0324"/>
    <s v="2025-05-07"/>
    <s v="2025-05-16"/>
    <s v="2025-05-22"/>
    <x v="1"/>
    <x v="1"/>
    <s v="Deluxe"/>
    <s v="Family"/>
    <s v="Online"/>
    <n v="2500"/>
    <n v="6"/>
    <n v="15000"/>
    <s v="Occupied"/>
    <n v="5"/>
    <s v="No"/>
  </r>
  <r>
    <s v="B0325"/>
    <s v="2025-12-04"/>
    <s v="2026-01-02"/>
    <s v="2026-01-05"/>
    <x v="0"/>
    <x v="2"/>
    <s v="Deluxe"/>
    <s v="Family"/>
    <s v="Online"/>
    <n v="3500"/>
    <n v="3"/>
    <n v="10500"/>
    <s v="Occupied"/>
    <n v="5"/>
    <s v="No"/>
  </r>
  <r>
    <s v="B0326"/>
    <s v="2025-05-03"/>
    <s v="2025-05-19"/>
    <s v="2025-05-23"/>
    <x v="1"/>
    <x v="0"/>
    <s v="Suite"/>
    <s v="Business"/>
    <s v="Corporate"/>
    <n v="2500"/>
    <n v="4"/>
    <n v="10000"/>
    <s v="Occupied"/>
    <n v="5"/>
    <s v="No"/>
  </r>
  <r>
    <s v="B0327"/>
    <s v="2025-06-12"/>
    <s v="2025-06-17"/>
    <s v="2025-06-21"/>
    <x v="0"/>
    <x v="2"/>
    <s v="Standard"/>
    <s v="Business"/>
    <s v="Online"/>
    <n v="7000"/>
    <n v="4"/>
    <n v="28000"/>
    <s v="Occupied"/>
    <n v="5"/>
    <s v="No"/>
  </r>
  <r>
    <s v="B0328"/>
    <s v="2025-01-08"/>
    <s v="2025-01-17"/>
    <s v="2025-01-19"/>
    <x v="1"/>
    <x v="4"/>
    <s v="Suite"/>
    <s v="Family"/>
    <s v="Walk-in"/>
    <n v="2500"/>
    <n v="2"/>
    <n v="5000"/>
    <s v="Cancelled"/>
    <n v="4"/>
    <s v="Yes"/>
  </r>
  <r>
    <s v="B0329"/>
    <s v="2025-08-05"/>
    <s v="2025-08-28"/>
    <s v="2025-09-01"/>
    <x v="1"/>
    <x v="3"/>
    <s v="Deluxe"/>
    <s v="Business"/>
    <s v="Corporate"/>
    <n v="2500"/>
    <n v="4"/>
    <n v="10000"/>
    <s v="Occupied"/>
    <n v="5"/>
    <s v="No"/>
  </r>
  <r>
    <s v="B0330"/>
    <s v="2025-02-10"/>
    <s v="2025-02-27"/>
    <s v="2025-03-01"/>
    <x v="1"/>
    <x v="0"/>
    <s v="Deluxe"/>
    <s v="Family"/>
    <s v="Walk-in"/>
    <n v="3500"/>
    <n v="2"/>
    <n v="7000"/>
    <s v="Occupied"/>
    <n v="4"/>
    <s v="No"/>
  </r>
  <r>
    <s v="B0331"/>
    <s v="2025-05-03"/>
    <s v="2025-05-05"/>
    <s v="2025-05-07"/>
    <x v="4"/>
    <x v="1"/>
    <s v="Suite"/>
    <s v="Business"/>
    <s v="Corporate"/>
    <n v="2500"/>
    <n v="2"/>
    <n v="5000"/>
    <s v="Cancelled"/>
    <n v="1"/>
    <s v="Yes"/>
  </r>
  <r>
    <s v="B0332"/>
    <s v="2025-12-08"/>
    <s v="2026-01-01"/>
    <s v="2026-01-07"/>
    <x v="0"/>
    <x v="0"/>
    <s v="Standard"/>
    <s v="Leisure"/>
    <s v="Corporate"/>
    <n v="9000"/>
    <n v="6"/>
    <n v="54000"/>
    <s v="Occupied"/>
    <n v="3"/>
    <s v="No"/>
  </r>
  <r>
    <s v="B0333"/>
    <s v="2025-09-25"/>
    <s v="2025-10-12"/>
    <s v="2025-10-19"/>
    <x v="0"/>
    <x v="4"/>
    <s v="Suite"/>
    <s v="Business"/>
    <s v="Online"/>
    <n v="9000"/>
    <n v="7"/>
    <n v="63000"/>
    <s v="Occupied"/>
    <n v="4"/>
    <s v="No"/>
  </r>
  <r>
    <s v="B0334"/>
    <s v="2025-06-21"/>
    <s v="2025-07-17"/>
    <s v="2025-07-21"/>
    <x v="1"/>
    <x v="0"/>
    <s v="Deluxe"/>
    <s v="Leisure"/>
    <s v="Corporate"/>
    <n v="4500"/>
    <n v="4"/>
    <n v="18000"/>
    <s v="Occupied"/>
    <n v="4"/>
    <s v="No"/>
  </r>
  <r>
    <s v="B0335"/>
    <s v="2025-01-29"/>
    <s v="2025-02-14"/>
    <s v="2025-02-21"/>
    <x v="2"/>
    <x v="0"/>
    <s v="Suite"/>
    <s v="Family"/>
    <s v="Online"/>
    <n v="7000"/>
    <n v="7"/>
    <n v="49000"/>
    <s v="Occupied"/>
    <n v="3"/>
    <s v="No"/>
  </r>
  <r>
    <s v="B0336"/>
    <s v="2025-04-27"/>
    <s v="2025-05-21"/>
    <s v="2025-05-26"/>
    <x v="0"/>
    <x v="0"/>
    <s v="Deluxe"/>
    <s v="Leisure"/>
    <s v="Walk-in"/>
    <n v="2500"/>
    <n v="5"/>
    <n v="12500"/>
    <s v="Occupied"/>
    <n v="3"/>
    <s v="No"/>
  </r>
  <r>
    <s v="B0337"/>
    <s v="2025-03-18"/>
    <s v="2025-03-24"/>
    <s v="2025-03-31"/>
    <x v="4"/>
    <x v="3"/>
    <s v="Deluxe"/>
    <s v="Business"/>
    <s v="Walk-in"/>
    <n v="2500"/>
    <n v="7"/>
    <n v="17500"/>
    <s v="Occupied"/>
    <n v="5"/>
    <s v="No"/>
  </r>
  <r>
    <s v="B0338"/>
    <s v="2025-06-13"/>
    <s v="2025-06-22"/>
    <s v="2025-06-29"/>
    <x v="1"/>
    <x v="0"/>
    <s v="Standard"/>
    <s v="Business"/>
    <s v="Online"/>
    <n v="2500"/>
    <n v="7"/>
    <n v="17500"/>
    <s v="Occupied"/>
    <n v="3"/>
    <s v="No"/>
  </r>
  <r>
    <s v="B0339"/>
    <s v="2025-07-25"/>
    <s v="2025-07-28"/>
    <s v="2025-08-01"/>
    <x v="2"/>
    <x v="0"/>
    <s v="Suite"/>
    <s v="Leisure"/>
    <s v="Online"/>
    <n v="4500"/>
    <n v="4"/>
    <n v="18000"/>
    <s v="Occupied"/>
    <n v="4"/>
    <s v="No"/>
  </r>
  <r>
    <s v="B0340"/>
    <s v="2025-07-08"/>
    <s v="2025-07-15"/>
    <s v="2025-07-18"/>
    <x v="1"/>
    <x v="3"/>
    <s v="Deluxe"/>
    <s v="Leisure"/>
    <s v="Walk-in"/>
    <n v="7000"/>
    <n v="3"/>
    <n v="21000"/>
    <s v="Occupied"/>
    <n v="5"/>
    <s v="No"/>
  </r>
  <r>
    <s v="B0341"/>
    <s v="2025-04-11"/>
    <s v="2025-05-05"/>
    <s v="2025-05-10"/>
    <x v="3"/>
    <x v="3"/>
    <s v="Suite"/>
    <s v="Leisure"/>
    <s v="Online"/>
    <n v="3500"/>
    <n v="5"/>
    <n v="17500"/>
    <s v="Occupied"/>
    <n v="4"/>
    <s v="No"/>
  </r>
  <r>
    <s v="B0342"/>
    <s v="2025-06-21"/>
    <s v="2025-06-22"/>
    <s v="2025-06-29"/>
    <x v="2"/>
    <x v="0"/>
    <s v="Standard"/>
    <s v="Family"/>
    <s v="Travel Agent"/>
    <n v="9000"/>
    <n v="7"/>
    <n v="63000"/>
    <s v="Occupied"/>
    <n v="5"/>
    <s v="No"/>
  </r>
  <r>
    <s v="B0343"/>
    <s v="2025-08-03"/>
    <s v="2025-08-19"/>
    <s v="2025-08-20"/>
    <x v="3"/>
    <x v="3"/>
    <s v="Suite"/>
    <s v="Leisure"/>
    <s v="Corporate"/>
    <n v="3500"/>
    <n v="1"/>
    <n v="3500"/>
    <s v="Occupied"/>
    <n v="3"/>
    <s v="No"/>
  </r>
  <r>
    <s v="B0344"/>
    <s v="2025-08-23"/>
    <s v="2025-09-16"/>
    <s v="2025-09-17"/>
    <x v="4"/>
    <x v="0"/>
    <s v="Suite"/>
    <s v="Family"/>
    <s v="Online"/>
    <n v="7000"/>
    <n v="1"/>
    <n v="7000"/>
    <s v="Occupied"/>
    <n v="3"/>
    <s v="No"/>
  </r>
  <r>
    <s v="B0345"/>
    <s v="2025-08-11"/>
    <s v="2025-09-02"/>
    <s v="2025-09-04"/>
    <x v="4"/>
    <x v="4"/>
    <s v="Deluxe"/>
    <s v="Leisure"/>
    <s v="Corporate"/>
    <n v="3500"/>
    <n v="2"/>
    <n v="7000"/>
    <s v="Occupied"/>
    <n v="4"/>
    <s v="No"/>
  </r>
  <r>
    <s v="B0346"/>
    <s v="2025-04-30"/>
    <s v="2025-05-03"/>
    <s v="2025-05-05"/>
    <x v="3"/>
    <x v="3"/>
    <s v="Standard"/>
    <s v="Business"/>
    <s v="Walk-in"/>
    <n v="3500"/>
    <n v="2"/>
    <n v="7000"/>
    <s v="Occupied"/>
    <n v="5"/>
    <s v="No"/>
  </r>
  <r>
    <s v="B0347"/>
    <s v="2025-08-27"/>
    <s v="2025-09-07"/>
    <s v="2025-09-11"/>
    <x v="4"/>
    <x v="4"/>
    <s v="Deluxe"/>
    <s v="Leisure"/>
    <s v="Online"/>
    <n v="2500"/>
    <n v="4"/>
    <n v="10000"/>
    <s v="Occupied"/>
    <n v="3"/>
    <s v="No"/>
  </r>
  <r>
    <s v="B0348"/>
    <s v="2025-02-16"/>
    <s v="2025-02-22"/>
    <s v="2025-03-01"/>
    <x v="1"/>
    <x v="0"/>
    <s v="Standard"/>
    <s v="Leisure"/>
    <s v="Travel Agent"/>
    <n v="9000"/>
    <n v="7"/>
    <n v="63000"/>
    <s v="Occupied"/>
    <n v="5"/>
    <s v="No"/>
  </r>
  <r>
    <s v="B0349"/>
    <s v="2025-02-16"/>
    <s v="2025-03-11"/>
    <s v="2025-03-13"/>
    <x v="2"/>
    <x v="4"/>
    <s v="Standard"/>
    <s v="Business"/>
    <s v="Walk-in"/>
    <n v="4500"/>
    <n v="2"/>
    <n v="9000"/>
    <s v="Occupied"/>
    <n v="3"/>
    <s v="No"/>
  </r>
  <r>
    <s v="B0350"/>
    <s v="2025-08-20"/>
    <s v="2025-09-07"/>
    <s v="2025-09-13"/>
    <x v="3"/>
    <x v="3"/>
    <s v="Standard"/>
    <s v="Business"/>
    <s v="Online"/>
    <n v="7000"/>
    <n v="6"/>
    <n v="42000"/>
    <s v="Occupied"/>
    <n v="4"/>
    <s v="No"/>
  </r>
  <r>
    <s v="B0351"/>
    <s v="2025-04-24"/>
    <s v="2025-04-29"/>
    <s v="2025-05-01"/>
    <x v="3"/>
    <x v="1"/>
    <s v="Suite"/>
    <s v="Leisure"/>
    <s v="Online"/>
    <n v="5500"/>
    <n v="2"/>
    <n v="11000"/>
    <s v="Occupied"/>
    <n v="5"/>
    <s v="No"/>
  </r>
  <r>
    <s v="B0352"/>
    <s v="2025-01-12"/>
    <s v="2025-01-15"/>
    <s v="2025-01-17"/>
    <x v="3"/>
    <x v="4"/>
    <s v="Standard"/>
    <s v="Business"/>
    <s v="Walk-in"/>
    <n v="9000"/>
    <n v="2"/>
    <n v="18000"/>
    <s v="Occupied"/>
    <n v="3"/>
    <s v="No"/>
  </r>
  <r>
    <s v="B0353"/>
    <s v="2025-01-26"/>
    <s v="2025-02-01"/>
    <s v="2025-02-06"/>
    <x v="4"/>
    <x v="0"/>
    <s v="Deluxe"/>
    <s v="Family"/>
    <s v="Walk-in"/>
    <n v="5500"/>
    <n v="5"/>
    <n v="27500"/>
    <s v="Occupied"/>
    <n v="4"/>
    <s v="No"/>
  </r>
  <r>
    <s v="B0354"/>
    <s v="2025-03-30"/>
    <s v="2025-04-11"/>
    <s v="2025-04-13"/>
    <x v="0"/>
    <x v="0"/>
    <s v="Suite"/>
    <s v="Family"/>
    <s v="Travel Agent"/>
    <n v="3500"/>
    <n v="2"/>
    <n v="7000"/>
    <s v="Occupied"/>
    <n v="4"/>
    <s v="No"/>
  </r>
  <r>
    <s v="B0355"/>
    <s v="2025-11-28"/>
    <s v="2025-12-08"/>
    <s v="2025-12-12"/>
    <x v="3"/>
    <x v="0"/>
    <s v="Deluxe"/>
    <s v="Leisure"/>
    <s v="Travel Agent"/>
    <n v="5500"/>
    <n v="4"/>
    <n v="22000"/>
    <s v="Cancelled"/>
    <n v="4"/>
    <s v="Yes"/>
  </r>
  <r>
    <s v="B0356"/>
    <s v="2025-08-03"/>
    <s v="2025-08-10"/>
    <s v="2025-08-16"/>
    <x v="3"/>
    <x v="2"/>
    <s v="Suite"/>
    <s v="Leisure"/>
    <s v="Walk-in"/>
    <n v="7000"/>
    <n v="6"/>
    <n v="42000"/>
    <s v="Occupied"/>
    <n v="5"/>
    <s v="No"/>
  </r>
  <r>
    <s v="B0357"/>
    <s v="2025-10-06"/>
    <s v="2025-11-01"/>
    <s v="2025-11-05"/>
    <x v="4"/>
    <x v="4"/>
    <s v="Standard"/>
    <s v="Business"/>
    <s v="Corporate"/>
    <n v="4500"/>
    <n v="4"/>
    <n v="18000"/>
    <s v="Cancelled"/>
    <n v="3"/>
    <s v="Yes"/>
  </r>
  <r>
    <s v="B0358"/>
    <s v="2025-11-02"/>
    <s v="2025-11-10"/>
    <s v="2025-11-11"/>
    <x v="1"/>
    <x v="4"/>
    <s v="Suite"/>
    <s v="Business"/>
    <s v="Travel Agent"/>
    <n v="4500"/>
    <n v="1"/>
    <n v="4500"/>
    <s v="Occupied"/>
    <n v="4"/>
    <s v="No"/>
  </r>
  <r>
    <s v="B0359"/>
    <s v="2025-02-21"/>
    <s v="2025-03-01"/>
    <s v="2025-03-07"/>
    <x v="3"/>
    <x v="3"/>
    <s v="Suite"/>
    <s v="Leisure"/>
    <s v="Corporate"/>
    <n v="3500"/>
    <n v="6"/>
    <n v="21000"/>
    <s v="Occupied"/>
    <n v="5"/>
    <s v="No"/>
  </r>
  <r>
    <s v="B0360"/>
    <s v="2025-03-30"/>
    <s v="2025-04-05"/>
    <s v="2025-04-07"/>
    <x v="2"/>
    <x v="1"/>
    <s v="Standard"/>
    <s v="Family"/>
    <s v="Corporate"/>
    <n v="7000"/>
    <n v="2"/>
    <n v="14000"/>
    <s v="Occupied"/>
    <n v="5"/>
    <s v="No"/>
  </r>
  <r>
    <s v="B0361"/>
    <s v="2025-10-18"/>
    <s v="2025-11-06"/>
    <s v="2025-11-08"/>
    <x v="1"/>
    <x v="4"/>
    <s v="Standard"/>
    <s v="Leisure"/>
    <s v="Online"/>
    <n v="7000"/>
    <n v="2"/>
    <n v="14000"/>
    <s v="Cancelled"/>
    <n v="4"/>
    <s v="Yes"/>
  </r>
  <r>
    <s v="B0362"/>
    <s v="2025-02-16"/>
    <s v="2025-02-18"/>
    <s v="2025-02-20"/>
    <x v="4"/>
    <x v="0"/>
    <s v="Deluxe"/>
    <s v="Family"/>
    <s v="Travel Agent"/>
    <n v="7000"/>
    <n v="2"/>
    <n v="14000"/>
    <s v="Occupied"/>
    <n v="5"/>
    <s v="No"/>
  </r>
  <r>
    <s v="B0363"/>
    <s v="2025-03-08"/>
    <s v="2025-03-19"/>
    <s v="2025-03-25"/>
    <x v="3"/>
    <x v="0"/>
    <s v="Standard"/>
    <s v="Family"/>
    <s v="Travel Agent"/>
    <n v="3500"/>
    <n v="6"/>
    <n v="21000"/>
    <s v="Cancelled"/>
    <n v="3"/>
    <s v="Yes"/>
  </r>
  <r>
    <s v="B0364"/>
    <s v="2025-02-26"/>
    <s v="2025-03-26"/>
    <s v="2025-03-31"/>
    <x v="4"/>
    <x v="1"/>
    <s v="Standard"/>
    <s v="Leisure"/>
    <s v="Corporate"/>
    <n v="4500"/>
    <n v="5"/>
    <n v="22500"/>
    <s v="Cancelled"/>
    <n v="3"/>
    <s v="Yes"/>
  </r>
  <r>
    <s v="B0365"/>
    <s v="2025-06-15"/>
    <s v="2025-06-20"/>
    <s v="2025-06-22"/>
    <x v="2"/>
    <x v="3"/>
    <s v="Suite"/>
    <s v="Family"/>
    <s v="Corporate"/>
    <n v="9000"/>
    <n v="2"/>
    <n v="18000"/>
    <s v="Cancelled"/>
    <n v="4"/>
    <s v="Yes"/>
  </r>
  <r>
    <s v="B0366"/>
    <s v="2025-04-25"/>
    <s v="2025-05-17"/>
    <s v="2025-05-22"/>
    <x v="2"/>
    <x v="3"/>
    <s v="Standard"/>
    <s v="Family"/>
    <s v="Online"/>
    <n v="3500"/>
    <n v="5"/>
    <n v="17500"/>
    <s v="Occupied"/>
    <n v="5"/>
    <s v="No"/>
  </r>
  <r>
    <s v="B0367"/>
    <s v="2025-12-26"/>
    <s v="2026-01-14"/>
    <s v="2026-01-18"/>
    <x v="2"/>
    <x v="1"/>
    <s v="Standard"/>
    <s v="Family"/>
    <s v="Online"/>
    <n v="7000"/>
    <n v="4"/>
    <n v="28000"/>
    <s v="Occupied"/>
    <n v="5"/>
    <s v="No"/>
  </r>
  <r>
    <s v="B0368"/>
    <s v="2025-09-12"/>
    <s v="2025-09-17"/>
    <s v="2025-09-20"/>
    <x v="2"/>
    <x v="3"/>
    <s v="Suite"/>
    <s v="Business"/>
    <s v="Corporate"/>
    <n v="9000"/>
    <n v="3"/>
    <n v="27000"/>
    <s v="Occupied"/>
    <n v="4"/>
    <s v="No"/>
  </r>
  <r>
    <s v="B0369"/>
    <s v="2025-08-17"/>
    <s v="2025-08-18"/>
    <s v="2025-08-21"/>
    <x v="2"/>
    <x v="4"/>
    <s v="Standard"/>
    <s v="Family"/>
    <s v="Online"/>
    <n v="3500"/>
    <n v="3"/>
    <n v="10500"/>
    <s v="Occupied"/>
    <n v="3"/>
    <s v="No"/>
  </r>
  <r>
    <s v="B0370"/>
    <s v="2025-01-25"/>
    <s v="2025-02-07"/>
    <s v="2025-02-11"/>
    <x v="4"/>
    <x v="2"/>
    <s v="Deluxe"/>
    <s v="Leisure"/>
    <s v="Walk-in"/>
    <n v="9000"/>
    <n v="4"/>
    <n v="36000"/>
    <s v="Occupied"/>
    <n v="3"/>
    <s v="No"/>
  </r>
  <r>
    <s v="B0371"/>
    <s v="2025-02-21"/>
    <s v="2025-03-20"/>
    <s v="2025-03-24"/>
    <x v="0"/>
    <x v="3"/>
    <s v="Deluxe"/>
    <s v="Business"/>
    <s v="Online"/>
    <n v="7000"/>
    <n v="4"/>
    <n v="28000"/>
    <s v="Occupied"/>
    <n v="5"/>
    <s v="No"/>
  </r>
  <r>
    <s v="B0372"/>
    <s v="2025-05-31"/>
    <s v="2025-06-01"/>
    <s v="2025-06-04"/>
    <x v="2"/>
    <x v="3"/>
    <s v="Deluxe"/>
    <s v="Business"/>
    <s v="Online"/>
    <n v="4500"/>
    <n v="3"/>
    <n v="13500"/>
    <s v="Cancelled"/>
    <n v="1"/>
    <s v="Yes"/>
  </r>
  <r>
    <s v="B0373"/>
    <s v="2025-10-08"/>
    <s v="2025-11-06"/>
    <s v="2025-11-07"/>
    <x v="4"/>
    <x v="0"/>
    <s v="Deluxe"/>
    <s v="Family"/>
    <s v="Travel Agent"/>
    <n v="4500"/>
    <n v="1"/>
    <n v="4500"/>
    <s v="Occupied"/>
    <n v="5"/>
    <s v="No"/>
  </r>
  <r>
    <s v="B0374"/>
    <s v="2025-11-07"/>
    <s v="2025-12-06"/>
    <s v="2025-12-10"/>
    <x v="0"/>
    <x v="3"/>
    <s v="Deluxe"/>
    <s v="Family"/>
    <s v="Corporate"/>
    <n v="3500"/>
    <n v="4"/>
    <n v="14000"/>
    <s v="Occupied"/>
    <n v="4"/>
    <s v="No"/>
  </r>
  <r>
    <s v="B0375"/>
    <s v="2025-12-05"/>
    <s v="2025-12-15"/>
    <s v="2025-12-18"/>
    <x v="1"/>
    <x v="1"/>
    <s v="Deluxe"/>
    <s v="Business"/>
    <s v="Online"/>
    <n v="3500"/>
    <n v="3"/>
    <n v="10500"/>
    <s v="Occupied"/>
    <n v="4"/>
    <s v="No"/>
  </r>
  <r>
    <s v="B0376"/>
    <s v="2025-07-04"/>
    <s v="2025-07-05"/>
    <s v="2025-07-09"/>
    <x v="1"/>
    <x v="2"/>
    <s v="Standard"/>
    <s v="Business"/>
    <s v="Online"/>
    <n v="2500"/>
    <n v="4"/>
    <n v="10000"/>
    <s v="Occupied"/>
    <n v="5"/>
    <s v="No"/>
  </r>
  <r>
    <s v="B0377"/>
    <s v="2025-04-16"/>
    <s v="2025-04-22"/>
    <s v="2025-04-28"/>
    <x v="3"/>
    <x v="4"/>
    <s v="Deluxe"/>
    <s v="Leisure"/>
    <s v="Walk-in"/>
    <n v="4500"/>
    <n v="6"/>
    <n v="27000"/>
    <s v="Cancelled"/>
    <n v="4"/>
    <s v="Yes"/>
  </r>
  <r>
    <s v="B0378"/>
    <s v="2025-12-05"/>
    <s v="2025-12-14"/>
    <s v="2025-12-15"/>
    <x v="2"/>
    <x v="2"/>
    <s v="Deluxe"/>
    <s v="Business"/>
    <s v="Walk-in"/>
    <n v="9000"/>
    <n v="1"/>
    <n v="9000"/>
    <s v="Occupied"/>
    <n v="3"/>
    <s v="No"/>
  </r>
  <r>
    <s v="B0379"/>
    <s v="2025-01-23"/>
    <s v="2025-02-01"/>
    <s v="2025-02-05"/>
    <x v="1"/>
    <x v="0"/>
    <s v="Standard"/>
    <s v="Family"/>
    <s v="Online"/>
    <n v="5500"/>
    <n v="4"/>
    <n v="22000"/>
    <s v="Occupied"/>
    <n v="4"/>
    <s v="No"/>
  </r>
  <r>
    <s v="B0380"/>
    <s v="2025-02-13"/>
    <s v="2025-03-07"/>
    <s v="2025-03-10"/>
    <x v="0"/>
    <x v="1"/>
    <s v="Standard"/>
    <s v="Leisure"/>
    <s v="Walk-in"/>
    <n v="7000"/>
    <n v="3"/>
    <n v="21000"/>
    <s v="Occupied"/>
    <n v="5"/>
    <s v="No"/>
  </r>
  <r>
    <s v="B0381"/>
    <s v="2025-10-02"/>
    <s v="2025-10-24"/>
    <s v="2025-10-31"/>
    <x v="4"/>
    <x v="4"/>
    <s v="Standard"/>
    <s v="Leisure"/>
    <s v="Online"/>
    <n v="5500"/>
    <n v="7"/>
    <n v="38500"/>
    <s v="Occupied"/>
    <n v="3"/>
    <s v="No"/>
  </r>
  <r>
    <s v="B0382"/>
    <s v="2025-09-15"/>
    <s v="2025-10-04"/>
    <s v="2025-10-09"/>
    <x v="0"/>
    <x v="0"/>
    <s v="Deluxe"/>
    <s v="Business"/>
    <s v="Travel Agent"/>
    <n v="7000"/>
    <n v="5"/>
    <n v="35000"/>
    <s v="Occupied"/>
    <n v="5"/>
    <s v="No"/>
  </r>
  <r>
    <s v="B0383"/>
    <s v="2025-04-19"/>
    <s v="2025-05-15"/>
    <s v="2025-05-17"/>
    <x v="4"/>
    <x v="3"/>
    <s v="Suite"/>
    <s v="Business"/>
    <s v="Corporate"/>
    <n v="3500"/>
    <n v="2"/>
    <n v="7000"/>
    <s v="Occupied"/>
    <n v="3"/>
    <s v="No"/>
  </r>
  <r>
    <s v="B0384"/>
    <s v="2025-06-13"/>
    <s v="2025-07-13"/>
    <s v="2025-07-19"/>
    <x v="4"/>
    <x v="1"/>
    <s v="Deluxe"/>
    <s v="Leisure"/>
    <s v="Walk-in"/>
    <n v="2500"/>
    <n v="6"/>
    <n v="15000"/>
    <s v="Occupied"/>
    <n v="5"/>
    <s v="No"/>
  </r>
  <r>
    <s v="B0385"/>
    <s v="2025-01-07"/>
    <s v="2025-02-02"/>
    <s v="2025-02-08"/>
    <x v="3"/>
    <x v="2"/>
    <s v="Standard"/>
    <s v="Business"/>
    <s v="Online"/>
    <n v="7000"/>
    <n v="6"/>
    <n v="42000"/>
    <s v="Occupied"/>
    <n v="4"/>
    <s v="No"/>
  </r>
  <r>
    <s v="B0386"/>
    <s v="2025-02-24"/>
    <s v="2025-03-15"/>
    <s v="2025-03-22"/>
    <x v="2"/>
    <x v="2"/>
    <s v="Deluxe"/>
    <s v="Leisure"/>
    <s v="Walk-in"/>
    <n v="2500"/>
    <n v="7"/>
    <n v="17500"/>
    <s v="Occupied"/>
    <n v="5"/>
    <s v="No"/>
  </r>
  <r>
    <s v="B0387"/>
    <s v="2025-10-20"/>
    <s v="2025-11-09"/>
    <s v="2025-11-13"/>
    <x v="0"/>
    <x v="1"/>
    <s v="Suite"/>
    <s v="Family"/>
    <s v="Walk-in"/>
    <n v="2500"/>
    <n v="4"/>
    <n v="10000"/>
    <s v="Occupied"/>
    <n v="4"/>
    <s v="No"/>
  </r>
  <r>
    <s v="B0388"/>
    <s v="2025-01-20"/>
    <s v="2025-02-02"/>
    <s v="2025-02-05"/>
    <x v="4"/>
    <x v="4"/>
    <s v="Deluxe"/>
    <s v="Business"/>
    <s v="Corporate"/>
    <n v="9000"/>
    <n v="3"/>
    <n v="27000"/>
    <s v="Occupied"/>
    <n v="5"/>
    <s v="No"/>
  </r>
  <r>
    <s v="B0389"/>
    <s v="2025-06-05"/>
    <s v="2025-06-15"/>
    <s v="2025-06-18"/>
    <x v="0"/>
    <x v="3"/>
    <s v="Deluxe"/>
    <s v="Family"/>
    <s v="Walk-in"/>
    <n v="5500"/>
    <n v="3"/>
    <n v="16500"/>
    <s v="Cancelled"/>
    <n v="1"/>
    <s v="Yes"/>
  </r>
  <r>
    <s v="B0390"/>
    <s v="2025-06-14"/>
    <s v="2025-06-23"/>
    <s v="2025-06-29"/>
    <x v="0"/>
    <x v="2"/>
    <s v="Standard"/>
    <s v="Leisure"/>
    <s v="Walk-in"/>
    <n v="5500"/>
    <n v="6"/>
    <n v="33000"/>
    <s v="Occupied"/>
    <n v="3"/>
    <s v="No"/>
  </r>
  <r>
    <s v="B0391"/>
    <s v="2025-09-22"/>
    <s v="2025-10-20"/>
    <s v="2025-10-23"/>
    <x v="3"/>
    <x v="4"/>
    <s v="Suite"/>
    <s v="Family"/>
    <s v="Walk-in"/>
    <n v="2500"/>
    <n v="3"/>
    <n v="7500"/>
    <s v="Occupied"/>
    <n v="3"/>
    <s v="No"/>
  </r>
  <r>
    <s v="B0392"/>
    <s v="2025-03-11"/>
    <s v="2025-04-05"/>
    <s v="2025-04-12"/>
    <x v="0"/>
    <x v="3"/>
    <s v="Standard"/>
    <s v="Business"/>
    <s v="Travel Agent"/>
    <n v="7000"/>
    <n v="7"/>
    <n v="49000"/>
    <s v="Cancelled"/>
    <n v="1"/>
    <s v="Yes"/>
  </r>
  <r>
    <s v="B0393"/>
    <s v="2025-01-17"/>
    <s v="2025-02-01"/>
    <s v="2025-02-02"/>
    <x v="2"/>
    <x v="2"/>
    <s v="Suite"/>
    <s v="Leisure"/>
    <s v="Online"/>
    <n v="4500"/>
    <n v="1"/>
    <n v="4500"/>
    <s v="Occupied"/>
    <n v="4"/>
    <s v="No"/>
  </r>
  <r>
    <s v="B0394"/>
    <s v="2025-12-15"/>
    <s v="2025-12-16"/>
    <s v="2025-12-18"/>
    <x v="0"/>
    <x v="2"/>
    <s v="Suite"/>
    <s v="Family"/>
    <s v="Corporate"/>
    <n v="4500"/>
    <n v="2"/>
    <n v="9000"/>
    <s v="Occupied"/>
    <n v="4"/>
    <s v="No"/>
  </r>
  <r>
    <s v="B0395"/>
    <s v="2025-06-26"/>
    <s v="2025-07-02"/>
    <s v="2025-07-09"/>
    <x v="3"/>
    <x v="4"/>
    <s v="Standard"/>
    <s v="Leisure"/>
    <s v="Online"/>
    <n v="4500"/>
    <n v="7"/>
    <n v="31500"/>
    <s v="Occupied"/>
    <n v="5"/>
    <s v="No"/>
  </r>
  <r>
    <s v="B0396"/>
    <s v="2025-03-25"/>
    <s v="2025-04-22"/>
    <s v="2025-04-27"/>
    <x v="0"/>
    <x v="4"/>
    <s v="Suite"/>
    <s v="Leisure"/>
    <s v="Online"/>
    <n v="3500"/>
    <n v="5"/>
    <n v="17500"/>
    <s v="Cancelled"/>
    <n v="2"/>
    <s v="Yes"/>
  </r>
  <r>
    <s v="B0397"/>
    <s v="2025-12-16"/>
    <s v="2025-12-17"/>
    <s v="2025-12-21"/>
    <x v="3"/>
    <x v="3"/>
    <s v="Deluxe"/>
    <s v="Family"/>
    <s v="Corporate"/>
    <n v="3500"/>
    <n v="4"/>
    <n v="14000"/>
    <s v="Occupied"/>
    <n v="5"/>
    <s v="No"/>
  </r>
  <r>
    <s v="B0398"/>
    <s v="2025-12-31"/>
    <s v="2026-01-23"/>
    <s v="2026-01-29"/>
    <x v="2"/>
    <x v="2"/>
    <s v="Deluxe"/>
    <s v="Business"/>
    <s v="Walk-in"/>
    <n v="4500"/>
    <n v="6"/>
    <n v="27000"/>
    <s v="Occupied"/>
    <n v="4"/>
    <s v="No"/>
  </r>
  <r>
    <s v="B0399"/>
    <s v="2025-06-04"/>
    <s v="2025-06-26"/>
    <s v="2025-07-01"/>
    <x v="3"/>
    <x v="1"/>
    <s v="Suite"/>
    <s v="Leisure"/>
    <s v="Corporate"/>
    <n v="7000"/>
    <n v="5"/>
    <n v="35000"/>
    <s v="Occupied"/>
    <n v="3"/>
    <s v="No"/>
  </r>
  <r>
    <s v="B0400"/>
    <s v="2025-06-02"/>
    <s v="2025-06-24"/>
    <s v="2025-06-25"/>
    <x v="2"/>
    <x v="4"/>
    <s v="Deluxe"/>
    <s v="Family"/>
    <s v="Corporate"/>
    <n v="5500"/>
    <n v="1"/>
    <n v="5500"/>
    <s v="Occupied"/>
    <n v="4"/>
    <s v="No"/>
  </r>
  <r>
    <s v="B0401"/>
    <s v="2025-04-07"/>
    <s v="2025-04-12"/>
    <s v="2025-04-17"/>
    <x v="2"/>
    <x v="3"/>
    <s v="Suite"/>
    <s v="Business"/>
    <s v="Walk-in"/>
    <n v="3500"/>
    <n v="5"/>
    <n v="17500"/>
    <s v="Cancelled"/>
    <n v="4"/>
    <s v="Yes"/>
  </r>
  <r>
    <s v="B0402"/>
    <s v="2025-06-01"/>
    <s v="2025-06-10"/>
    <s v="2025-06-14"/>
    <x v="1"/>
    <x v="1"/>
    <s v="Standard"/>
    <s v="Leisure"/>
    <s v="Travel Agent"/>
    <n v="5500"/>
    <n v="4"/>
    <n v="22000"/>
    <s v="Occupied"/>
    <n v="3"/>
    <s v="No"/>
  </r>
  <r>
    <s v="B0403"/>
    <s v="2025-12-18"/>
    <s v="2026-01-05"/>
    <s v="2026-01-11"/>
    <x v="1"/>
    <x v="4"/>
    <s v="Standard"/>
    <s v="Family"/>
    <s v="Travel Agent"/>
    <n v="5500"/>
    <n v="6"/>
    <n v="33000"/>
    <s v="Cancelled"/>
    <n v="3"/>
    <s v="Yes"/>
  </r>
  <r>
    <s v="B0404"/>
    <s v="2025-05-31"/>
    <s v="2025-06-04"/>
    <s v="2025-06-08"/>
    <x v="1"/>
    <x v="3"/>
    <s v="Suite"/>
    <s v="Leisure"/>
    <s v="Online"/>
    <n v="3500"/>
    <n v="4"/>
    <n v="14000"/>
    <s v="Occupied"/>
    <n v="5"/>
    <s v="No"/>
  </r>
  <r>
    <s v="B0405"/>
    <s v="2025-04-24"/>
    <s v="2025-05-06"/>
    <s v="2025-05-08"/>
    <x v="2"/>
    <x v="4"/>
    <s v="Deluxe"/>
    <s v="Family"/>
    <s v="Corporate"/>
    <n v="9000"/>
    <n v="2"/>
    <n v="18000"/>
    <s v="Cancelled"/>
    <n v="4"/>
    <s v="Yes"/>
  </r>
  <r>
    <s v="B0406"/>
    <s v="2025-08-26"/>
    <s v="2025-09-23"/>
    <s v="2025-09-24"/>
    <x v="1"/>
    <x v="1"/>
    <s v="Suite"/>
    <s v="Business"/>
    <s v="Walk-in"/>
    <n v="5500"/>
    <n v="1"/>
    <n v="5500"/>
    <s v="Occupied"/>
    <n v="5"/>
    <s v="No"/>
  </r>
  <r>
    <s v="B0407"/>
    <s v="2025-04-10"/>
    <s v="2025-04-27"/>
    <s v="2025-04-28"/>
    <x v="4"/>
    <x v="0"/>
    <s v="Standard"/>
    <s v="Business"/>
    <s v="Travel Agent"/>
    <n v="9000"/>
    <n v="1"/>
    <n v="9000"/>
    <s v="Occupied"/>
    <n v="4"/>
    <s v="No"/>
  </r>
  <r>
    <s v="B0408"/>
    <s v="2025-06-25"/>
    <s v="2025-07-09"/>
    <s v="2025-07-14"/>
    <x v="0"/>
    <x v="0"/>
    <s v="Deluxe"/>
    <s v="Leisure"/>
    <s v="Travel Agent"/>
    <n v="5500"/>
    <n v="5"/>
    <n v="27500"/>
    <s v="Occupied"/>
    <n v="5"/>
    <s v="No"/>
  </r>
  <r>
    <s v="B0409"/>
    <s v="2025-06-10"/>
    <s v="2025-07-01"/>
    <s v="2025-07-02"/>
    <x v="0"/>
    <x v="1"/>
    <s v="Standard"/>
    <s v="Leisure"/>
    <s v="Online"/>
    <n v="2500"/>
    <n v="1"/>
    <n v="2500"/>
    <s v="Occupied"/>
    <n v="3"/>
    <s v="No"/>
  </r>
  <r>
    <s v="B0410"/>
    <s v="2025-03-08"/>
    <s v="2025-03-28"/>
    <s v="2025-04-01"/>
    <x v="4"/>
    <x v="2"/>
    <s v="Standard"/>
    <s v="Business"/>
    <s v="Travel Agent"/>
    <n v="9000"/>
    <n v="4"/>
    <n v="36000"/>
    <s v="Occupied"/>
    <n v="4"/>
    <s v="No"/>
  </r>
  <r>
    <s v="B0411"/>
    <s v="2025-07-11"/>
    <s v="2025-07-12"/>
    <s v="2025-07-15"/>
    <x v="3"/>
    <x v="3"/>
    <s v="Standard"/>
    <s v="Family"/>
    <s v="Corporate"/>
    <n v="7000"/>
    <n v="3"/>
    <n v="21000"/>
    <s v="Occupied"/>
    <n v="5"/>
    <s v="No"/>
  </r>
  <r>
    <s v="B0412"/>
    <s v="2025-06-09"/>
    <s v="2025-06-14"/>
    <s v="2025-06-15"/>
    <x v="0"/>
    <x v="0"/>
    <s v="Standard"/>
    <s v="Leisure"/>
    <s v="Corporate"/>
    <n v="5500"/>
    <n v="1"/>
    <n v="5500"/>
    <s v="Occupied"/>
    <n v="4"/>
    <s v="No"/>
  </r>
  <r>
    <s v="B0413"/>
    <s v="2025-08-22"/>
    <s v="2025-09-15"/>
    <s v="2025-09-20"/>
    <x v="0"/>
    <x v="4"/>
    <s v="Deluxe"/>
    <s v="Leisure"/>
    <s v="Travel Agent"/>
    <n v="7000"/>
    <n v="5"/>
    <n v="35000"/>
    <s v="Occupied"/>
    <n v="4"/>
    <s v="No"/>
  </r>
  <r>
    <s v="B0414"/>
    <s v="2025-03-26"/>
    <s v="2025-04-25"/>
    <s v="2025-05-02"/>
    <x v="0"/>
    <x v="3"/>
    <s v="Suite"/>
    <s v="Business"/>
    <s v="Travel Agent"/>
    <n v="5500"/>
    <n v="7"/>
    <n v="38500"/>
    <s v="Occupied"/>
    <n v="3"/>
    <s v="No"/>
  </r>
  <r>
    <s v="B0415"/>
    <s v="2025-03-05"/>
    <s v="2025-03-17"/>
    <s v="2025-03-23"/>
    <x v="2"/>
    <x v="1"/>
    <s v="Suite"/>
    <s v="Business"/>
    <s v="Online"/>
    <n v="9000"/>
    <n v="6"/>
    <n v="54000"/>
    <s v="Occupied"/>
    <n v="4"/>
    <s v="No"/>
  </r>
  <r>
    <s v="B0416"/>
    <s v="2025-12-05"/>
    <s v="2025-12-09"/>
    <s v="2025-12-15"/>
    <x v="4"/>
    <x v="2"/>
    <s v="Deluxe"/>
    <s v="Business"/>
    <s v="Corporate"/>
    <n v="2500"/>
    <n v="6"/>
    <n v="15000"/>
    <s v="Occupied"/>
    <n v="3"/>
    <s v="No"/>
  </r>
  <r>
    <s v="B0417"/>
    <s v="2025-08-31"/>
    <s v="2025-09-23"/>
    <s v="2025-09-25"/>
    <x v="3"/>
    <x v="4"/>
    <s v="Deluxe"/>
    <s v="Family"/>
    <s v="Online"/>
    <n v="3500"/>
    <n v="2"/>
    <n v="7000"/>
    <s v="Occupied"/>
    <n v="5"/>
    <s v="No"/>
  </r>
  <r>
    <s v="B0418"/>
    <s v="2025-12-06"/>
    <s v="2025-12-23"/>
    <s v="2025-12-26"/>
    <x v="4"/>
    <x v="0"/>
    <s v="Suite"/>
    <s v="Family"/>
    <s v="Online"/>
    <n v="7000"/>
    <n v="3"/>
    <n v="21000"/>
    <s v="Occupied"/>
    <n v="3"/>
    <s v="No"/>
  </r>
  <r>
    <s v="B0419"/>
    <s v="2025-05-25"/>
    <s v="2025-05-29"/>
    <s v="2025-06-05"/>
    <x v="0"/>
    <x v="4"/>
    <s v="Suite"/>
    <s v="Business"/>
    <s v="Corporate"/>
    <n v="2500"/>
    <n v="7"/>
    <n v="17500"/>
    <s v="Occupied"/>
    <n v="5"/>
    <s v="No"/>
  </r>
  <r>
    <s v="B0420"/>
    <s v="2025-12-27"/>
    <s v="2026-01-10"/>
    <s v="2026-01-13"/>
    <x v="0"/>
    <x v="2"/>
    <s v="Deluxe"/>
    <s v="Business"/>
    <s v="Online"/>
    <n v="3500"/>
    <n v="3"/>
    <n v="10500"/>
    <s v="Occupied"/>
    <n v="4"/>
    <s v="No"/>
  </r>
  <r>
    <s v="B0421"/>
    <s v="2025-01-07"/>
    <s v="2025-01-29"/>
    <s v="2025-01-30"/>
    <x v="4"/>
    <x v="3"/>
    <s v="Standard"/>
    <s v="Family"/>
    <s v="Online"/>
    <n v="2500"/>
    <n v="1"/>
    <n v="2500"/>
    <s v="Occupied"/>
    <n v="5"/>
    <s v="No"/>
  </r>
  <r>
    <s v="B0422"/>
    <s v="2025-02-21"/>
    <s v="2025-03-22"/>
    <s v="2025-03-25"/>
    <x v="2"/>
    <x v="2"/>
    <s v="Standard"/>
    <s v="Business"/>
    <s v="Travel Agent"/>
    <n v="9000"/>
    <n v="3"/>
    <n v="27000"/>
    <s v="Occupied"/>
    <n v="4"/>
    <s v="No"/>
  </r>
  <r>
    <s v="B0423"/>
    <s v="2025-01-21"/>
    <s v="2025-02-18"/>
    <s v="2025-02-21"/>
    <x v="4"/>
    <x v="0"/>
    <s v="Standard"/>
    <s v="Business"/>
    <s v="Online"/>
    <n v="4500"/>
    <n v="3"/>
    <n v="13500"/>
    <s v="Occupied"/>
    <n v="4"/>
    <s v="No"/>
  </r>
  <r>
    <s v="B0424"/>
    <s v="2025-03-12"/>
    <s v="2025-04-03"/>
    <s v="2025-04-09"/>
    <x v="1"/>
    <x v="4"/>
    <s v="Suite"/>
    <s v="Business"/>
    <s v="Corporate"/>
    <n v="3500"/>
    <n v="6"/>
    <n v="21000"/>
    <s v="Occupied"/>
    <n v="4"/>
    <s v="No"/>
  </r>
  <r>
    <s v="B0425"/>
    <s v="2025-06-25"/>
    <s v="2025-07-01"/>
    <s v="2025-07-02"/>
    <x v="2"/>
    <x v="2"/>
    <s v="Suite"/>
    <s v="Leisure"/>
    <s v="Walk-in"/>
    <n v="5500"/>
    <n v="1"/>
    <n v="5500"/>
    <s v="Occupied"/>
    <n v="4"/>
    <s v="No"/>
  </r>
  <r>
    <s v="B0426"/>
    <s v="2025-11-29"/>
    <s v="2025-12-28"/>
    <s v="2026-01-04"/>
    <x v="3"/>
    <x v="3"/>
    <s v="Standard"/>
    <s v="Leisure"/>
    <s v="Walk-in"/>
    <n v="3500"/>
    <n v="7"/>
    <n v="24500"/>
    <s v="Occupied"/>
    <n v="5"/>
    <s v="No"/>
  </r>
  <r>
    <s v="B0427"/>
    <s v="2025-10-19"/>
    <s v="2025-11-10"/>
    <s v="2025-11-14"/>
    <x v="1"/>
    <x v="0"/>
    <s v="Suite"/>
    <s v="Family"/>
    <s v="Travel Agent"/>
    <n v="3500"/>
    <n v="4"/>
    <n v="14000"/>
    <s v="Occupied"/>
    <n v="4"/>
    <s v="No"/>
  </r>
  <r>
    <s v="B0428"/>
    <s v="2025-09-05"/>
    <s v="2025-10-05"/>
    <s v="2025-10-09"/>
    <x v="3"/>
    <x v="0"/>
    <s v="Deluxe"/>
    <s v="Family"/>
    <s v="Corporate"/>
    <n v="2500"/>
    <n v="4"/>
    <n v="10000"/>
    <s v="Cancelled"/>
    <n v="4"/>
    <s v="Yes"/>
  </r>
  <r>
    <s v="B0429"/>
    <s v="2025-01-07"/>
    <s v="2025-01-30"/>
    <s v="2025-02-06"/>
    <x v="1"/>
    <x v="1"/>
    <s v="Standard"/>
    <s v="Family"/>
    <s v="Corporate"/>
    <n v="9000"/>
    <n v="7"/>
    <n v="63000"/>
    <s v="Occupied"/>
    <n v="5"/>
    <s v="No"/>
  </r>
  <r>
    <s v="B0430"/>
    <s v="2025-09-23"/>
    <s v="2025-10-10"/>
    <s v="2025-10-16"/>
    <x v="0"/>
    <x v="2"/>
    <s v="Deluxe"/>
    <s v="Family"/>
    <s v="Walk-in"/>
    <n v="9000"/>
    <n v="6"/>
    <n v="54000"/>
    <s v="Occupied"/>
    <n v="4"/>
    <s v="No"/>
  </r>
  <r>
    <s v="B0431"/>
    <s v="2025-03-18"/>
    <s v="2025-04-14"/>
    <s v="2025-04-21"/>
    <x v="3"/>
    <x v="3"/>
    <s v="Suite"/>
    <s v="Leisure"/>
    <s v="Walk-in"/>
    <n v="7000"/>
    <n v="7"/>
    <n v="49000"/>
    <s v="Cancelled"/>
    <n v="1"/>
    <s v="Yes"/>
  </r>
  <r>
    <s v="B0432"/>
    <s v="2025-03-26"/>
    <s v="2025-03-29"/>
    <s v="2025-04-05"/>
    <x v="2"/>
    <x v="0"/>
    <s v="Suite"/>
    <s v="Business"/>
    <s v="Walk-in"/>
    <n v="5500"/>
    <n v="7"/>
    <n v="38500"/>
    <s v="Occupied"/>
    <n v="4"/>
    <s v="No"/>
  </r>
  <r>
    <s v="B0433"/>
    <s v="2025-07-26"/>
    <s v="2025-08-22"/>
    <s v="2025-08-24"/>
    <x v="4"/>
    <x v="0"/>
    <s v="Deluxe"/>
    <s v="Leisure"/>
    <s v="Corporate"/>
    <n v="2500"/>
    <n v="2"/>
    <n v="5000"/>
    <s v="Occupied"/>
    <n v="5"/>
    <s v="No"/>
  </r>
  <r>
    <s v="B0434"/>
    <s v="2025-03-02"/>
    <s v="2025-03-18"/>
    <s v="2025-03-24"/>
    <x v="4"/>
    <x v="0"/>
    <s v="Suite"/>
    <s v="Family"/>
    <s v="Online"/>
    <n v="9000"/>
    <n v="6"/>
    <n v="54000"/>
    <s v="Occupied"/>
    <n v="4"/>
    <s v="No"/>
  </r>
  <r>
    <s v="B0435"/>
    <s v="2025-02-16"/>
    <s v="2025-03-14"/>
    <s v="2025-03-19"/>
    <x v="1"/>
    <x v="3"/>
    <s v="Suite"/>
    <s v="Family"/>
    <s v="Walk-in"/>
    <n v="7000"/>
    <n v="5"/>
    <n v="35000"/>
    <s v="Occupied"/>
    <n v="5"/>
    <s v="No"/>
  </r>
  <r>
    <s v="B0436"/>
    <s v="2025-06-24"/>
    <s v="2025-07-06"/>
    <s v="2025-07-13"/>
    <x v="2"/>
    <x v="1"/>
    <s v="Suite"/>
    <s v="Family"/>
    <s v="Walk-in"/>
    <n v="2500"/>
    <n v="7"/>
    <n v="17500"/>
    <s v="Occupied"/>
    <n v="4"/>
    <s v="No"/>
  </r>
  <r>
    <s v="B0437"/>
    <s v="2025-12-03"/>
    <s v="2025-12-15"/>
    <s v="2025-12-21"/>
    <x v="0"/>
    <x v="0"/>
    <s v="Deluxe"/>
    <s v="Leisure"/>
    <s v="Corporate"/>
    <n v="5500"/>
    <n v="6"/>
    <n v="33000"/>
    <s v="Occupied"/>
    <n v="5"/>
    <s v="No"/>
  </r>
  <r>
    <s v="B0438"/>
    <s v="2025-10-08"/>
    <s v="2025-10-25"/>
    <s v="2025-10-28"/>
    <x v="4"/>
    <x v="3"/>
    <s v="Suite"/>
    <s v="Family"/>
    <s v="Walk-in"/>
    <n v="9000"/>
    <n v="3"/>
    <n v="27000"/>
    <s v="Occupied"/>
    <n v="3"/>
    <s v="No"/>
  </r>
  <r>
    <s v="B0439"/>
    <s v="2025-02-24"/>
    <s v="2025-03-05"/>
    <s v="2025-03-10"/>
    <x v="0"/>
    <x v="2"/>
    <s v="Standard"/>
    <s v="Family"/>
    <s v="Corporate"/>
    <n v="3500"/>
    <n v="5"/>
    <n v="17500"/>
    <s v="Occupied"/>
    <n v="4"/>
    <s v="No"/>
  </r>
  <r>
    <s v="B0440"/>
    <s v="2025-02-25"/>
    <s v="2025-03-22"/>
    <s v="2025-03-26"/>
    <x v="4"/>
    <x v="2"/>
    <s v="Suite"/>
    <s v="Family"/>
    <s v="Travel Agent"/>
    <n v="2500"/>
    <n v="4"/>
    <n v="10000"/>
    <s v="Cancelled"/>
    <n v="1"/>
    <s v="Yes"/>
  </r>
  <r>
    <s v="B0441"/>
    <s v="2025-09-13"/>
    <s v="2025-09-14"/>
    <s v="2025-09-19"/>
    <x v="1"/>
    <x v="2"/>
    <s v="Suite"/>
    <s v="Business"/>
    <s v="Travel Agent"/>
    <n v="9000"/>
    <n v="5"/>
    <n v="45000"/>
    <s v="Occupied"/>
    <n v="4"/>
    <s v="No"/>
  </r>
  <r>
    <s v="B0442"/>
    <s v="2025-03-07"/>
    <s v="2025-03-11"/>
    <s v="2025-03-15"/>
    <x v="1"/>
    <x v="2"/>
    <s v="Deluxe"/>
    <s v="Family"/>
    <s v="Travel Agent"/>
    <n v="9000"/>
    <n v="4"/>
    <n v="36000"/>
    <s v="Occupied"/>
    <n v="4"/>
    <s v="No"/>
  </r>
  <r>
    <s v="B0443"/>
    <s v="2025-05-21"/>
    <s v="2025-06-03"/>
    <s v="2025-06-06"/>
    <x v="0"/>
    <x v="2"/>
    <s v="Suite"/>
    <s v="Family"/>
    <s v="Corporate"/>
    <n v="4500"/>
    <n v="3"/>
    <n v="13500"/>
    <s v="Occupied"/>
    <n v="3"/>
    <s v="No"/>
  </r>
  <r>
    <s v="B0444"/>
    <s v="2025-12-26"/>
    <s v="2026-01-13"/>
    <s v="2026-01-20"/>
    <x v="0"/>
    <x v="3"/>
    <s v="Standard"/>
    <s v="Family"/>
    <s v="Corporate"/>
    <n v="4500"/>
    <n v="7"/>
    <n v="31500"/>
    <s v="Occupied"/>
    <n v="5"/>
    <s v="No"/>
  </r>
  <r>
    <s v="B0445"/>
    <s v="2025-12-18"/>
    <s v="2025-12-30"/>
    <s v="2026-01-05"/>
    <x v="1"/>
    <x v="1"/>
    <s v="Suite"/>
    <s v="Family"/>
    <s v="Corporate"/>
    <n v="3500"/>
    <n v="6"/>
    <n v="21000"/>
    <s v="Cancelled"/>
    <n v="2"/>
    <s v="Yes"/>
  </r>
  <r>
    <s v="B0446"/>
    <s v="2025-12-30"/>
    <s v="2026-01-03"/>
    <s v="2026-01-10"/>
    <x v="1"/>
    <x v="2"/>
    <s v="Suite"/>
    <s v="Family"/>
    <s v="Corporate"/>
    <n v="4500"/>
    <n v="7"/>
    <n v="31500"/>
    <s v="Occupied"/>
    <n v="5"/>
    <s v="No"/>
  </r>
  <r>
    <s v="B0447"/>
    <s v="2025-08-05"/>
    <s v="2025-08-31"/>
    <s v="2025-09-01"/>
    <x v="0"/>
    <x v="0"/>
    <s v="Suite"/>
    <s v="Business"/>
    <s v="Travel Agent"/>
    <n v="7000"/>
    <n v="1"/>
    <n v="7000"/>
    <s v="Occupied"/>
    <n v="4"/>
    <s v="No"/>
  </r>
  <r>
    <s v="B0448"/>
    <s v="2025-05-17"/>
    <s v="2025-06-11"/>
    <s v="2025-06-18"/>
    <x v="0"/>
    <x v="0"/>
    <s v="Suite"/>
    <s v="Leisure"/>
    <s v="Travel Agent"/>
    <n v="3500"/>
    <n v="7"/>
    <n v="24500"/>
    <s v="Cancelled"/>
    <n v="3"/>
    <s v="Yes"/>
  </r>
  <r>
    <s v="B0449"/>
    <s v="2025-10-05"/>
    <s v="2025-10-07"/>
    <s v="2025-10-10"/>
    <x v="1"/>
    <x v="3"/>
    <s v="Suite"/>
    <s v="Family"/>
    <s v="Walk-in"/>
    <n v="5500"/>
    <n v="3"/>
    <n v="16500"/>
    <s v="Occupied"/>
    <n v="5"/>
    <s v="No"/>
  </r>
  <r>
    <s v="B0450"/>
    <s v="2025-05-02"/>
    <s v="2025-05-19"/>
    <s v="2025-05-26"/>
    <x v="3"/>
    <x v="2"/>
    <s v="Deluxe"/>
    <s v="Leisure"/>
    <s v="Corporate"/>
    <n v="9000"/>
    <n v="7"/>
    <n v="63000"/>
    <s v="Occupied"/>
    <n v="5"/>
    <s v="No"/>
  </r>
  <r>
    <s v="B0451"/>
    <s v="2025-10-10"/>
    <s v="2025-10-12"/>
    <s v="2025-10-13"/>
    <x v="4"/>
    <x v="3"/>
    <s v="Suite"/>
    <s v="Family"/>
    <s v="Corporate"/>
    <n v="9000"/>
    <n v="1"/>
    <n v="9000"/>
    <s v="Occupied"/>
    <n v="5"/>
    <s v="No"/>
  </r>
  <r>
    <s v="B0452"/>
    <s v="2025-10-29"/>
    <s v="2025-11-16"/>
    <s v="2025-11-22"/>
    <x v="0"/>
    <x v="4"/>
    <s v="Deluxe"/>
    <s v="Business"/>
    <s v="Online"/>
    <n v="7000"/>
    <n v="6"/>
    <n v="42000"/>
    <s v="Occupied"/>
    <n v="5"/>
    <s v="No"/>
  </r>
  <r>
    <s v="B0453"/>
    <s v="2025-04-06"/>
    <s v="2025-04-12"/>
    <s v="2025-04-18"/>
    <x v="4"/>
    <x v="4"/>
    <s v="Suite"/>
    <s v="Leisure"/>
    <s v="Travel Agent"/>
    <n v="7000"/>
    <n v="6"/>
    <n v="42000"/>
    <s v="Occupied"/>
    <n v="3"/>
    <s v="No"/>
  </r>
  <r>
    <s v="B0454"/>
    <s v="2025-03-24"/>
    <s v="2025-04-12"/>
    <s v="2025-04-19"/>
    <x v="0"/>
    <x v="0"/>
    <s v="Standard"/>
    <s v="Leisure"/>
    <s v="Online"/>
    <n v="4500"/>
    <n v="7"/>
    <n v="31500"/>
    <s v="Occupied"/>
    <n v="4"/>
    <s v="No"/>
  </r>
  <r>
    <s v="B0455"/>
    <s v="2025-11-17"/>
    <s v="2025-12-07"/>
    <s v="2025-12-14"/>
    <x v="1"/>
    <x v="4"/>
    <s v="Standard"/>
    <s v="Family"/>
    <s v="Corporate"/>
    <n v="9000"/>
    <n v="7"/>
    <n v="63000"/>
    <s v="Occupied"/>
    <n v="5"/>
    <s v="No"/>
  </r>
  <r>
    <s v="B0456"/>
    <s v="2025-09-27"/>
    <s v="2025-10-05"/>
    <s v="2025-10-07"/>
    <x v="0"/>
    <x v="2"/>
    <s v="Suite"/>
    <s v="Family"/>
    <s v="Walk-in"/>
    <n v="7000"/>
    <n v="2"/>
    <n v="14000"/>
    <s v="Occupied"/>
    <n v="5"/>
    <s v="No"/>
  </r>
  <r>
    <s v="B0457"/>
    <s v="2025-02-17"/>
    <s v="2025-03-01"/>
    <s v="2025-03-03"/>
    <x v="2"/>
    <x v="4"/>
    <s v="Standard"/>
    <s v="Family"/>
    <s v="Walk-in"/>
    <n v="3500"/>
    <n v="2"/>
    <n v="7000"/>
    <s v="Occupied"/>
    <n v="4"/>
    <s v="No"/>
  </r>
  <r>
    <s v="B0458"/>
    <s v="2025-10-15"/>
    <s v="2025-11-11"/>
    <s v="2025-11-18"/>
    <x v="2"/>
    <x v="2"/>
    <s v="Standard"/>
    <s v="Family"/>
    <s v="Travel Agent"/>
    <n v="9000"/>
    <n v="7"/>
    <n v="63000"/>
    <s v="Occupied"/>
    <n v="5"/>
    <s v="No"/>
  </r>
  <r>
    <s v="B0459"/>
    <s v="2025-01-21"/>
    <s v="2025-02-12"/>
    <s v="2025-02-15"/>
    <x v="4"/>
    <x v="4"/>
    <s v="Suite"/>
    <s v="Family"/>
    <s v="Corporate"/>
    <n v="5500"/>
    <n v="3"/>
    <n v="16500"/>
    <s v="Cancelled"/>
    <n v="1"/>
    <s v="Yes"/>
  </r>
  <r>
    <s v="B0460"/>
    <s v="2025-01-13"/>
    <s v="2025-02-12"/>
    <s v="2025-02-17"/>
    <x v="4"/>
    <x v="2"/>
    <s v="Standard"/>
    <s v="Leisure"/>
    <s v="Travel Agent"/>
    <n v="4500"/>
    <n v="5"/>
    <n v="22500"/>
    <s v="Occupied"/>
    <n v="5"/>
    <s v="No"/>
  </r>
  <r>
    <s v="B0461"/>
    <s v="2025-06-14"/>
    <s v="2025-07-01"/>
    <s v="2025-07-02"/>
    <x v="1"/>
    <x v="0"/>
    <s v="Suite"/>
    <s v="Business"/>
    <s v="Travel Agent"/>
    <n v="2500"/>
    <n v="1"/>
    <n v="2500"/>
    <s v="Occupied"/>
    <n v="5"/>
    <s v="No"/>
  </r>
  <r>
    <s v="B0462"/>
    <s v="2025-12-10"/>
    <s v="2025-12-31"/>
    <s v="2026-01-07"/>
    <x v="3"/>
    <x v="3"/>
    <s v="Suite"/>
    <s v="Family"/>
    <s v="Walk-in"/>
    <n v="3500"/>
    <n v="7"/>
    <n v="24500"/>
    <s v="Cancelled"/>
    <n v="4"/>
    <s v="Yes"/>
  </r>
  <r>
    <s v="B0463"/>
    <s v="2025-11-28"/>
    <s v="2025-12-25"/>
    <s v="2025-12-26"/>
    <x v="4"/>
    <x v="4"/>
    <s v="Standard"/>
    <s v="Business"/>
    <s v="Online"/>
    <n v="9000"/>
    <n v="1"/>
    <n v="9000"/>
    <s v="Occupied"/>
    <n v="3"/>
    <s v="No"/>
  </r>
  <r>
    <s v="B0464"/>
    <s v="2025-01-28"/>
    <s v="2025-02-03"/>
    <s v="2025-02-10"/>
    <x v="0"/>
    <x v="4"/>
    <s v="Deluxe"/>
    <s v="Leisure"/>
    <s v="Walk-in"/>
    <n v="4500"/>
    <n v="7"/>
    <n v="31500"/>
    <s v="Occupied"/>
    <n v="5"/>
    <s v="No"/>
  </r>
  <r>
    <s v="B0465"/>
    <s v="2025-11-19"/>
    <s v="2025-12-02"/>
    <s v="2025-12-06"/>
    <x v="3"/>
    <x v="1"/>
    <s v="Standard"/>
    <s v="Family"/>
    <s v="Online"/>
    <n v="4500"/>
    <n v="4"/>
    <n v="18000"/>
    <s v="Occupied"/>
    <n v="5"/>
    <s v="No"/>
  </r>
  <r>
    <s v="B0466"/>
    <s v="2025-10-27"/>
    <s v="2025-10-29"/>
    <s v="2025-11-04"/>
    <x v="3"/>
    <x v="4"/>
    <s v="Suite"/>
    <s v="Leisure"/>
    <s v="Online"/>
    <n v="2500"/>
    <n v="6"/>
    <n v="15000"/>
    <s v="Occupied"/>
    <n v="5"/>
    <s v="No"/>
  </r>
  <r>
    <s v="B0467"/>
    <s v="2025-05-25"/>
    <s v="2025-06-19"/>
    <s v="2025-06-23"/>
    <x v="3"/>
    <x v="2"/>
    <s v="Standard"/>
    <s v="Family"/>
    <s v="Travel Agent"/>
    <n v="5500"/>
    <n v="4"/>
    <n v="22000"/>
    <s v="Occupied"/>
    <n v="5"/>
    <s v="No"/>
  </r>
  <r>
    <s v="B0468"/>
    <s v="2025-03-11"/>
    <s v="2025-04-04"/>
    <s v="2025-04-08"/>
    <x v="0"/>
    <x v="4"/>
    <s v="Suite"/>
    <s v="Family"/>
    <s v="Corporate"/>
    <n v="7000"/>
    <n v="4"/>
    <n v="28000"/>
    <s v="Occupied"/>
    <n v="5"/>
    <s v="No"/>
  </r>
  <r>
    <s v="B0469"/>
    <s v="2025-01-06"/>
    <s v="2025-01-24"/>
    <s v="2025-01-31"/>
    <x v="3"/>
    <x v="1"/>
    <s v="Suite"/>
    <s v="Leisure"/>
    <s v="Online"/>
    <n v="7000"/>
    <n v="7"/>
    <n v="49000"/>
    <s v="Occupied"/>
    <n v="3"/>
    <s v="No"/>
  </r>
  <r>
    <s v="B0470"/>
    <s v="2025-06-06"/>
    <s v="2025-06-13"/>
    <s v="2025-06-19"/>
    <x v="0"/>
    <x v="2"/>
    <s v="Suite"/>
    <s v="Family"/>
    <s v="Travel Agent"/>
    <n v="9000"/>
    <n v="6"/>
    <n v="54000"/>
    <s v="Cancelled"/>
    <n v="3"/>
    <s v="Yes"/>
  </r>
  <r>
    <s v="B0471"/>
    <s v="2025-03-24"/>
    <s v="2025-03-30"/>
    <s v="2025-04-01"/>
    <x v="3"/>
    <x v="3"/>
    <s v="Suite"/>
    <s v="Family"/>
    <s v="Online"/>
    <n v="7000"/>
    <n v="2"/>
    <n v="14000"/>
    <s v="Occupied"/>
    <n v="3"/>
    <s v="No"/>
  </r>
  <r>
    <s v="B0472"/>
    <s v="2025-10-09"/>
    <s v="2025-10-24"/>
    <s v="2025-10-30"/>
    <x v="3"/>
    <x v="4"/>
    <s v="Standard"/>
    <s v="Business"/>
    <s v="Walk-in"/>
    <n v="7000"/>
    <n v="6"/>
    <n v="42000"/>
    <s v="Occupied"/>
    <n v="5"/>
    <s v="No"/>
  </r>
  <r>
    <s v="B0473"/>
    <s v="2025-06-19"/>
    <s v="2025-07-01"/>
    <s v="2025-07-03"/>
    <x v="2"/>
    <x v="1"/>
    <s v="Standard"/>
    <s v="Business"/>
    <s v="Corporate"/>
    <n v="9000"/>
    <n v="2"/>
    <n v="18000"/>
    <s v="Occupied"/>
    <n v="3"/>
    <s v="No"/>
  </r>
  <r>
    <s v="B0474"/>
    <s v="2025-09-06"/>
    <s v="2025-09-21"/>
    <s v="2025-09-24"/>
    <x v="1"/>
    <x v="3"/>
    <s v="Suite"/>
    <s v="Family"/>
    <s v="Corporate"/>
    <n v="7000"/>
    <n v="3"/>
    <n v="21000"/>
    <s v="Occupied"/>
    <n v="5"/>
    <s v="No"/>
  </r>
  <r>
    <s v="B0475"/>
    <s v="2025-06-11"/>
    <s v="2025-06-25"/>
    <s v="2025-06-27"/>
    <x v="4"/>
    <x v="4"/>
    <s v="Deluxe"/>
    <s v="Business"/>
    <s v="Corporate"/>
    <n v="2500"/>
    <n v="2"/>
    <n v="5000"/>
    <s v="Occupied"/>
    <n v="3"/>
    <s v="No"/>
  </r>
  <r>
    <s v="B0476"/>
    <s v="2025-09-03"/>
    <s v="2025-09-18"/>
    <s v="2025-09-22"/>
    <x v="1"/>
    <x v="0"/>
    <s v="Standard"/>
    <s v="Family"/>
    <s v="Online"/>
    <n v="4500"/>
    <n v="4"/>
    <n v="18000"/>
    <s v="Occupied"/>
    <n v="4"/>
    <s v="No"/>
  </r>
  <r>
    <s v="B0477"/>
    <s v="2025-05-24"/>
    <s v="2025-06-21"/>
    <s v="2025-06-28"/>
    <x v="2"/>
    <x v="0"/>
    <s v="Suite"/>
    <s v="Business"/>
    <s v="Online"/>
    <n v="3500"/>
    <n v="7"/>
    <n v="24500"/>
    <s v="Cancelled"/>
    <n v="2"/>
    <s v="Yes"/>
  </r>
  <r>
    <s v="B0478"/>
    <s v="2025-09-17"/>
    <s v="2025-10-08"/>
    <s v="2025-10-09"/>
    <x v="0"/>
    <x v="0"/>
    <s v="Suite"/>
    <s v="Leisure"/>
    <s v="Walk-in"/>
    <n v="7000"/>
    <n v="1"/>
    <n v="7000"/>
    <s v="Occupied"/>
    <n v="5"/>
    <s v="No"/>
  </r>
  <r>
    <s v="B0479"/>
    <s v="2025-12-01"/>
    <s v="2025-12-26"/>
    <s v="2025-12-28"/>
    <x v="2"/>
    <x v="3"/>
    <s v="Deluxe"/>
    <s v="Family"/>
    <s v="Online"/>
    <n v="4500"/>
    <n v="2"/>
    <n v="9000"/>
    <s v="Occupied"/>
    <n v="5"/>
    <s v="No"/>
  </r>
  <r>
    <s v="B0480"/>
    <s v="2025-07-23"/>
    <s v="2025-08-04"/>
    <s v="2025-08-09"/>
    <x v="0"/>
    <x v="1"/>
    <s v="Standard"/>
    <s v="Leisure"/>
    <s v="Travel Agent"/>
    <n v="2500"/>
    <n v="5"/>
    <n v="12500"/>
    <s v="Occupied"/>
    <n v="5"/>
    <s v="No"/>
  </r>
  <r>
    <s v="B0481"/>
    <s v="2025-04-02"/>
    <s v="2025-04-21"/>
    <s v="2025-04-26"/>
    <x v="4"/>
    <x v="4"/>
    <s v="Standard"/>
    <s v="Business"/>
    <s v="Walk-in"/>
    <n v="9000"/>
    <n v="5"/>
    <n v="45000"/>
    <s v="Cancelled"/>
    <n v="2"/>
    <s v="Yes"/>
  </r>
  <r>
    <s v="B0482"/>
    <s v="2025-04-29"/>
    <s v="2025-05-02"/>
    <s v="2025-05-05"/>
    <x v="0"/>
    <x v="1"/>
    <s v="Deluxe"/>
    <s v="Leisure"/>
    <s v="Walk-in"/>
    <n v="4500"/>
    <n v="3"/>
    <n v="13500"/>
    <s v="Occupied"/>
    <n v="5"/>
    <s v="No"/>
  </r>
  <r>
    <s v="B0483"/>
    <s v="2025-08-21"/>
    <s v="2025-09-19"/>
    <s v="2025-09-20"/>
    <x v="3"/>
    <x v="1"/>
    <s v="Suite"/>
    <s v="Leisure"/>
    <s v="Corporate"/>
    <n v="2500"/>
    <n v="1"/>
    <n v="2500"/>
    <s v="Cancelled"/>
    <n v="3"/>
    <s v="Yes"/>
  </r>
  <r>
    <s v="B0484"/>
    <s v="2025-10-24"/>
    <s v="2025-11-11"/>
    <s v="2025-11-16"/>
    <x v="2"/>
    <x v="1"/>
    <s v="Suite"/>
    <s v="Business"/>
    <s v="Corporate"/>
    <n v="3500"/>
    <n v="5"/>
    <n v="17500"/>
    <s v="Occupied"/>
    <n v="4"/>
    <s v="No"/>
  </r>
  <r>
    <s v="B0485"/>
    <s v="2025-07-12"/>
    <s v="2025-08-11"/>
    <s v="2025-08-13"/>
    <x v="4"/>
    <x v="2"/>
    <s v="Suite"/>
    <s v="Business"/>
    <s v="Travel Agent"/>
    <n v="7000"/>
    <n v="2"/>
    <n v="14000"/>
    <s v="Occupied"/>
    <n v="4"/>
    <s v="No"/>
  </r>
  <r>
    <s v="B0486"/>
    <s v="2025-08-14"/>
    <s v="2025-08-20"/>
    <s v="2025-08-22"/>
    <x v="0"/>
    <x v="3"/>
    <s v="Standard"/>
    <s v="Business"/>
    <s v="Corporate"/>
    <n v="2500"/>
    <n v="2"/>
    <n v="5000"/>
    <s v="Occupied"/>
    <n v="4"/>
    <s v="No"/>
  </r>
  <r>
    <s v="B0487"/>
    <s v="2025-11-05"/>
    <s v="2025-11-28"/>
    <s v="2025-12-05"/>
    <x v="2"/>
    <x v="0"/>
    <s v="Deluxe"/>
    <s v="Family"/>
    <s v="Walk-in"/>
    <n v="2500"/>
    <n v="7"/>
    <n v="17500"/>
    <s v="Occupied"/>
    <n v="4"/>
    <s v="No"/>
  </r>
  <r>
    <s v="B0488"/>
    <s v="2025-09-03"/>
    <s v="2025-09-10"/>
    <s v="2025-09-15"/>
    <x v="3"/>
    <x v="3"/>
    <s v="Standard"/>
    <s v="Business"/>
    <s v="Travel Agent"/>
    <n v="3500"/>
    <n v="5"/>
    <n v="17500"/>
    <s v="Occupied"/>
    <n v="4"/>
    <s v="No"/>
  </r>
  <r>
    <s v="B0489"/>
    <s v="2025-03-10"/>
    <s v="2025-03-31"/>
    <s v="2025-04-05"/>
    <x v="3"/>
    <x v="3"/>
    <s v="Deluxe"/>
    <s v="Business"/>
    <s v="Walk-in"/>
    <n v="2500"/>
    <n v="5"/>
    <n v="12500"/>
    <s v="Cancelled"/>
    <n v="2"/>
    <s v="Yes"/>
  </r>
  <r>
    <s v="B0490"/>
    <s v="2025-11-03"/>
    <s v="2025-11-22"/>
    <s v="2025-11-28"/>
    <x v="3"/>
    <x v="3"/>
    <s v="Deluxe"/>
    <s v="Family"/>
    <s v="Walk-in"/>
    <n v="2500"/>
    <n v="6"/>
    <n v="15000"/>
    <s v="Cancelled"/>
    <n v="3"/>
    <s v="Yes"/>
  </r>
  <r>
    <s v="B0491"/>
    <s v="2025-09-04"/>
    <s v="2025-09-10"/>
    <s v="2025-09-12"/>
    <x v="0"/>
    <x v="1"/>
    <s v="Suite"/>
    <s v="Family"/>
    <s v="Corporate"/>
    <n v="5500"/>
    <n v="2"/>
    <n v="11000"/>
    <s v="Occupied"/>
    <n v="5"/>
    <s v="No"/>
  </r>
  <r>
    <s v="B0492"/>
    <s v="2025-03-27"/>
    <s v="2025-04-20"/>
    <s v="2025-04-26"/>
    <x v="0"/>
    <x v="2"/>
    <s v="Deluxe"/>
    <s v="Business"/>
    <s v="Online"/>
    <n v="4500"/>
    <n v="6"/>
    <n v="27000"/>
    <s v="Cancelled"/>
    <n v="1"/>
    <s v="Yes"/>
  </r>
  <r>
    <s v="B0493"/>
    <s v="2025-01-09"/>
    <s v="2025-01-16"/>
    <s v="2025-01-21"/>
    <x v="1"/>
    <x v="0"/>
    <s v="Standard"/>
    <s v="Leisure"/>
    <s v="Online"/>
    <n v="7000"/>
    <n v="5"/>
    <n v="35000"/>
    <s v="Occupied"/>
    <n v="3"/>
    <s v="No"/>
  </r>
  <r>
    <s v="B0494"/>
    <s v="2025-09-30"/>
    <s v="2025-10-17"/>
    <s v="2025-10-24"/>
    <x v="0"/>
    <x v="1"/>
    <s v="Suite"/>
    <s v="Business"/>
    <s v="Walk-in"/>
    <n v="2500"/>
    <n v="7"/>
    <n v="17500"/>
    <s v="Occupied"/>
    <n v="5"/>
    <s v="No"/>
  </r>
  <r>
    <s v="B0495"/>
    <s v="2025-09-25"/>
    <s v="2025-10-09"/>
    <s v="2025-10-12"/>
    <x v="0"/>
    <x v="2"/>
    <s v="Deluxe"/>
    <s v="Leisure"/>
    <s v="Online"/>
    <n v="2500"/>
    <n v="3"/>
    <n v="7500"/>
    <s v="Occupied"/>
    <n v="4"/>
    <s v="No"/>
  </r>
  <r>
    <s v="B0496"/>
    <s v="2025-08-06"/>
    <s v="2025-08-11"/>
    <s v="2025-08-14"/>
    <x v="2"/>
    <x v="1"/>
    <s v="Suite"/>
    <s v="Leisure"/>
    <s v="Corporate"/>
    <n v="5500"/>
    <n v="3"/>
    <n v="16500"/>
    <s v="Occupied"/>
    <n v="3"/>
    <s v="No"/>
  </r>
  <r>
    <s v="B0497"/>
    <s v="2025-04-07"/>
    <s v="2025-04-08"/>
    <s v="2025-04-14"/>
    <x v="1"/>
    <x v="0"/>
    <s v="Suite"/>
    <s v="Business"/>
    <s v="Walk-in"/>
    <n v="9000"/>
    <n v="6"/>
    <n v="54000"/>
    <s v="Occupied"/>
    <n v="5"/>
    <s v="No"/>
  </r>
  <r>
    <s v="B0498"/>
    <s v="2025-12-02"/>
    <s v="2025-12-09"/>
    <s v="2025-12-15"/>
    <x v="0"/>
    <x v="2"/>
    <s v="Suite"/>
    <s v="Family"/>
    <s v="Corporate"/>
    <n v="4500"/>
    <n v="6"/>
    <n v="27000"/>
    <s v="Occupied"/>
    <n v="3"/>
    <s v="No"/>
  </r>
  <r>
    <s v="B0499"/>
    <s v="2025-05-14"/>
    <s v="2025-06-11"/>
    <s v="2025-06-16"/>
    <x v="2"/>
    <x v="2"/>
    <s v="Standard"/>
    <s v="Leisure"/>
    <s v="Walk-in"/>
    <n v="5500"/>
    <n v="5"/>
    <n v="27500"/>
    <s v="Occupied"/>
    <n v="5"/>
    <s v="No"/>
  </r>
  <r>
    <s v="B0500"/>
    <s v="2025-04-02"/>
    <s v="2025-04-14"/>
    <s v="2025-04-19"/>
    <x v="1"/>
    <x v="4"/>
    <s v="Suite"/>
    <s v="Leisure"/>
    <s v="Travel Agent"/>
    <n v="7000"/>
    <n v="5"/>
    <n v="35000"/>
    <s v="Occupied"/>
    <n v="4"/>
    <s v="No"/>
  </r>
  <r>
    <m/>
    <m/>
    <m/>
    <m/>
    <x v="5"/>
    <x v="5"/>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CDCEA-F0F0-4B23-BD03-BBB79BCB560E}"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A3:B10" firstHeaderRow="1" firstDataRow="1" firstDataCol="1"/>
  <pivotFields count="15">
    <pivotField showAll="0"/>
    <pivotField showAll="0"/>
    <pivotField showAll="0"/>
    <pivotField showAll="0"/>
    <pivotField showAll="0"/>
    <pivotField axis="axisRow" showAll="0">
      <items count="7">
        <item x="0"/>
        <item x="1"/>
        <item x="4"/>
        <item x="2"/>
        <item x="3"/>
        <item x="5"/>
        <item t="default"/>
      </items>
    </pivotField>
    <pivotField showAll="0"/>
    <pivotField showAll="0"/>
    <pivotField showAll="0"/>
    <pivotField showAll="0"/>
    <pivotField showAll="0"/>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54198-77F1-40D8-8477-580D4C71B98E}"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otel name">
  <location ref="A3:B10" firstHeaderRow="1" firstDataRow="1" firstDataCol="1"/>
  <pivotFields count="15">
    <pivotField showAll="0"/>
    <pivotField showAll="0"/>
    <pivotField showAll="0"/>
    <pivotField showAll="0"/>
    <pivotField axis="axisRow" showAll="0">
      <items count="7">
        <item x="2"/>
        <item x="3"/>
        <item x="0"/>
        <item x="4"/>
        <item x="1"/>
        <item x="5"/>
        <item t="default"/>
      </items>
    </pivotField>
    <pivotField showAll="0"/>
    <pivotField showAll="0"/>
    <pivotField showAll="0"/>
    <pivotField showAll="0"/>
    <pivotField showAll="0"/>
    <pivotField showAll="0"/>
    <pivotField dataField="1" showAll="0"/>
    <pivotField showAll="0"/>
    <pivotField showAll="0"/>
    <pivotField showAll="0"/>
  </pivotFields>
  <rowFields count="1">
    <field x="4"/>
  </rowFields>
  <rowItems count="7">
    <i>
      <x/>
    </i>
    <i>
      <x v="1"/>
    </i>
    <i>
      <x v="2"/>
    </i>
    <i>
      <x v="3"/>
    </i>
    <i>
      <x v="4"/>
    </i>
    <i>
      <x v="5"/>
    </i>
    <i t="grand">
      <x/>
    </i>
  </rowItems>
  <colItems count="1">
    <i/>
  </colItems>
  <dataFields count="1">
    <dataField name="Sum of Revenue" fld="1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9F558-BF77-488A-8070-42822257FDA8}"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oom type">
  <location ref="A3:B7" firstHeaderRow="1" firstDataRow="1" firstDataCol="1"/>
  <pivotFields count="16">
    <pivotField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axis="axisRow" showAll="0">
      <items count="4">
        <item x="2"/>
        <item x="1"/>
        <item x="0"/>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66993-A20F-4CE9-9490-A6C40CED52F0}"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ooking channel">
  <location ref="A3:B8" firstHeaderRow="1" firstDataRow="1" firstDataCol="1"/>
  <pivotFields count="16">
    <pivotField dataField="1"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Count of Booking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F418EF-64A7-405F-BA4A-F832A180A9DE}"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 type">
  <location ref="A3:B7" firstHeaderRow="1" firstDataRow="1" firstDataCol="1"/>
  <pivotFields count="16">
    <pivotField dataField="1"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axis="axisRow" showAll="0">
      <items count="4">
        <item x="1"/>
        <item x="0"/>
        <item x="2"/>
        <item t="default"/>
      </items>
    </pivotField>
    <pivotField showAll="0">
      <items count="5">
        <item x="3"/>
        <item x="0"/>
        <item x="1"/>
        <item x="2"/>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Booking_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B50A1A-59B2-4123-A87D-E8CC6FB95C0A}"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6">
    <pivotField showAll="0"/>
    <pivotField showAll="0">
      <items count="272">
        <item x="14"/>
        <item x="113"/>
        <item x="91"/>
        <item x="259"/>
        <item x="184"/>
        <item x="177"/>
        <item x="269"/>
        <item x="149"/>
        <item x="257"/>
        <item x="238"/>
        <item x="138"/>
        <item x="132"/>
        <item x="99"/>
        <item x="245"/>
        <item x="232"/>
        <item x="170"/>
        <item x="229"/>
        <item x="25"/>
        <item x="23"/>
        <item x="215"/>
        <item x="77"/>
        <item x="102"/>
        <item x="17"/>
        <item x="209"/>
        <item x="31"/>
        <item x="137"/>
        <item x="6"/>
        <item x="171"/>
        <item x="67"/>
        <item x="116"/>
        <item x="168"/>
        <item x="48"/>
        <item x="188"/>
        <item x="162"/>
        <item x="63"/>
        <item x="109"/>
        <item x="190"/>
        <item x="42"/>
        <item x="226"/>
        <item x="16"/>
        <item x="110"/>
        <item x="201"/>
        <item x="243"/>
        <item x="143"/>
        <item x="152"/>
        <item x="144"/>
        <item x="30"/>
        <item x="267"/>
        <item x="237"/>
        <item x="246"/>
        <item x="182"/>
        <item x="205"/>
        <item x="10"/>
        <item x="217"/>
        <item x="15"/>
        <item x="26"/>
        <item x="147"/>
        <item x="256"/>
        <item x="239"/>
        <item x="202"/>
        <item x="136"/>
        <item x="189"/>
        <item x="223"/>
        <item x="94"/>
        <item x="38"/>
        <item x="111"/>
        <item x="174"/>
        <item x="163"/>
        <item x="240"/>
        <item x="70"/>
        <item x="242"/>
        <item x="219"/>
        <item x="142"/>
        <item x="55"/>
        <item x="18"/>
        <item x="210"/>
        <item x="92"/>
        <item x="222"/>
        <item x="172"/>
        <item x="216"/>
        <item x="263"/>
        <item x="103"/>
        <item x="87"/>
        <item x="255"/>
        <item x="178"/>
        <item x="130"/>
        <item x="161"/>
        <item x="61"/>
        <item x="207"/>
        <item x="81"/>
        <item x="90"/>
        <item x="181"/>
        <item x="52"/>
        <item x="59"/>
        <item x="140"/>
        <item x="104"/>
        <item x="253"/>
        <item x="199"/>
        <item x="186"/>
        <item x="57"/>
        <item x="252"/>
        <item x="34"/>
        <item x="158"/>
        <item x="191"/>
        <item x="150"/>
        <item x="122"/>
        <item x="53"/>
        <item x="129"/>
        <item x="75"/>
        <item x="68"/>
        <item x="180"/>
        <item x="56"/>
        <item x="141"/>
        <item x="71"/>
        <item x="234"/>
        <item x="74"/>
        <item x="93"/>
        <item x="62"/>
        <item x="139"/>
        <item x="261"/>
        <item x="159"/>
        <item x="218"/>
        <item x="235"/>
        <item x="203"/>
        <item x="194"/>
        <item x="45"/>
        <item x="80"/>
        <item x="164"/>
        <item x="214"/>
        <item x="117"/>
        <item x="3"/>
        <item x="33"/>
        <item x="4"/>
        <item x="118"/>
        <item x="37"/>
        <item x="231"/>
        <item x="11"/>
        <item x="44"/>
        <item x="134"/>
        <item x="176"/>
        <item x="126"/>
        <item x="183"/>
        <item x="112"/>
        <item x="39"/>
        <item x="84"/>
        <item x="131"/>
        <item x="58"/>
        <item x="128"/>
        <item x="114"/>
        <item x="9"/>
        <item x="249"/>
        <item x="86"/>
        <item x="85"/>
        <item x="173"/>
        <item x="175"/>
        <item x="29"/>
        <item x="211"/>
        <item x="69"/>
        <item x="107"/>
        <item x="208"/>
        <item x="36"/>
        <item x="108"/>
        <item x="221"/>
        <item x="133"/>
        <item x="19"/>
        <item x="266"/>
        <item x="88"/>
        <item x="193"/>
        <item x="148"/>
        <item x="105"/>
        <item x="264"/>
        <item x="206"/>
        <item x="220"/>
        <item x="8"/>
        <item x="66"/>
        <item x="47"/>
        <item x="60"/>
        <item x="22"/>
        <item x="49"/>
        <item x="160"/>
        <item x="95"/>
        <item x="248"/>
        <item x="197"/>
        <item x="198"/>
        <item x="50"/>
        <item x="228"/>
        <item x="251"/>
        <item x="121"/>
        <item x="27"/>
        <item x="262"/>
        <item x="124"/>
        <item x="127"/>
        <item x="21"/>
        <item x="236"/>
        <item x="82"/>
        <item x="213"/>
        <item x="167"/>
        <item x="270"/>
        <item x="125"/>
        <item x="24"/>
        <item x="254"/>
        <item x="225"/>
        <item x="135"/>
        <item x="230"/>
        <item x="260"/>
        <item x="83"/>
        <item x="151"/>
        <item x="196"/>
        <item x="96"/>
        <item x="169"/>
        <item x="35"/>
        <item x="179"/>
        <item x="165"/>
        <item x="247"/>
        <item x="233"/>
        <item x="156"/>
        <item x="43"/>
        <item x="265"/>
        <item x="155"/>
        <item x="97"/>
        <item x="100"/>
        <item x="20"/>
        <item x="1"/>
        <item x="12"/>
        <item x="268"/>
        <item x="119"/>
        <item x="79"/>
        <item x="73"/>
        <item x="106"/>
        <item x="98"/>
        <item x="51"/>
        <item x="46"/>
        <item x="89"/>
        <item x="76"/>
        <item x="5"/>
        <item x="258"/>
        <item x="192"/>
        <item x="65"/>
        <item x="72"/>
        <item x="0"/>
        <item x="146"/>
        <item x="123"/>
        <item x="185"/>
        <item x="224"/>
        <item x="2"/>
        <item x="145"/>
        <item x="200"/>
        <item x="204"/>
        <item x="250"/>
        <item x="40"/>
        <item x="64"/>
        <item x="32"/>
        <item x="212"/>
        <item x="7"/>
        <item x="195"/>
        <item x="28"/>
        <item x="157"/>
        <item x="41"/>
        <item x="120"/>
        <item x="13"/>
        <item x="241"/>
        <item x="154"/>
        <item x="101"/>
        <item x="166"/>
        <item x="54"/>
        <item x="78"/>
        <item x="227"/>
        <item x="244"/>
        <item x="153"/>
        <item x="115"/>
        <item x="187"/>
        <item t="default"/>
      </items>
    </pivotField>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axis="axisRow" showAll="0">
      <items count="13">
        <item x="8"/>
        <item x="3"/>
        <item x="7"/>
        <item x="9"/>
        <item x="11"/>
        <item x="2"/>
        <item x="6"/>
        <item x="5"/>
        <item x="10"/>
        <item x="1"/>
        <item x="0"/>
        <item x="4"/>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Revenue" fld="11"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C0BDC4-B437-45E3-B255-380E4E0BBE48}"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ating">
  <location ref="A3:B9" firstHeaderRow="1" firstDataRow="1" firstDataCol="1"/>
  <pivotFields count="16">
    <pivotField dataField="1"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showAll="0"/>
    <pivotField showAll="0">
      <items count="5">
        <item x="3"/>
        <item x="0"/>
        <item x="1"/>
        <item x="2"/>
        <item t="default"/>
      </items>
    </pivotField>
    <pivotField showAll="0"/>
    <pivotField showAll="0"/>
    <pivotField showAll="0"/>
    <pivotField showAll="0"/>
    <pivotField axis="axisRow" showAll="0">
      <items count="6">
        <item x="4"/>
        <item x="3"/>
        <item x="0"/>
        <item x="2"/>
        <item x="1"/>
        <item t="default"/>
      </items>
    </pivotField>
    <pivotField showAll="0"/>
    <pivotField showAll="0"/>
  </pivotFields>
  <rowFields count="1">
    <field x="13"/>
  </rowFields>
  <rowItems count="6">
    <i>
      <x/>
    </i>
    <i>
      <x v="1"/>
    </i>
    <i>
      <x v="2"/>
    </i>
    <i>
      <x v="3"/>
    </i>
    <i>
      <x v="4"/>
    </i>
    <i t="grand">
      <x/>
    </i>
  </rowItems>
  <colItems count="1">
    <i/>
  </colItems>
  <dataFields count="1">
    <dataField name="Count of Booking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260B97-53B8-4870-9888-B6F0CD086EC0}"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Revenue" fld="11"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C54017-6A63-4D75-91B5-D2865FE601D0}" name="PivotTable10"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258352-0416-4EE6-A5FB-4691C8EF00B0}" name="PivotTable1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of Rating"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3771FA-0660-4D44-A087-6D4494869AAA}" name="PivotTable1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items count="6">
        <item x="2"/>
        <item x="3"/>
        <item x="0"/>
        <item x="4"/>
        <item x="1"/>
        <item t="default"/>
      </items>
    </pivotField>
    <pivotField showAll="0">
      <items count="6">
        <item x="0"/>
        <item x="1"/>
        <item x="4"/>
        <item x="2"/>
        <item x="3"/>
        <item t="default"/>
      </items>
    </pivotField>
    <pivotField showAll="0">
      <items count="4">
        <item x="2"/>
        <item x="1"/>
        <item x="0"/>
        <item t="default"/>
      </items>
    </pivotField>
    <pivotField showAll="0"/>
    <pivotField showAll="0">
      <items count="5">
        <item x="3"/>
        <item x="0"/>
        <item x="1"/>
        <item x="2"/>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Average of Night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FE702C9-CDB8-44C0-840B-DAE4CD961404}" sourceName="City">
  <pivotTables>
    <pivotTable tabId="8" name="PivotTable5"/>
    <pivotTable tabId="7" name="PivotTable4"/>
    <pivotTable tabId="9" name="PivotTable6"/>
    <pivotTable tabId="6" name="PivotTable3"/>
    <pivotTable tabId="11" name="PivotTable8"/>
    <pivotTable tabId="14" name="PivotTable9"/>
    <pivotTable tabId="15" name="PivotTable10"/>
    <pivotTable tabId="16" name="PivotTable11"/>
    <pivotTable tabId="17" name="PivotTable12"/>
  </pivotTables>
  <data>
    <tabular pivotCacheId="1971263373">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5439A586-6129-460E-AD2C-BA02EF989EA5}" sourceName="Room_Type">
  <pivotTables>
    <pivotTable tabId="8" name="PivotTable5"/>
    <pivotTable tabId="7" name="PivotTable4"/>
    <pivotTable tabId="9" name="PivotTable6"/>
    <pivotTable tabId="6" name="PivotTable3"/>
    <pivotTable tabId="11" name="PivotTable8"/>
    <pivotTable tabId="14" name="PivotTable9"/>
    <pivotTable tabId="15" name="PivotTable10"/>
    <pivotTable tabId="16" name="PivotTable11"/>
    <pivotTable tabId="17" name="PivotTable12"/>
  </pivotTables>
  <data>
    <tabular pivotCacheId="197126337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Name" xr10:uid="{A37B669F-C41B-4459-AAFB-E775E82635EF}" sourceName="Hotel_Name">
  <pivotTables>
    <pivotTable tabId="8" name="PivotTable5"/>
    <pivotTable tabId="7" name="PivotTable4"/>
    <pivotTable tabId="9" name="PivotTable6"/>
    <pivotTable tabId="6" name="PivotTable3"/>
    <pivotTable tabId="11" name="PivotTable8"/>
    <pivotTable tabId="14" name="PivotTable9"/>
    <pivotTable tabId="15" name="PivotTable10"/>
    <pivotTable tabId="16" name="PivotTable11"/>
    <pivotTable tabId="17" name="PivotTable12"/>
  </pivotTables>
  <data>
    <tabular pivotCacheId="1971263373">
      <items count="5">
        <i x="2" s="1"/>
        <i x="3" s="1"/>
        <i x="0"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Channel" xr10:uid="{DF687F1B-19F3-46C6-A727-C4D1F325ACD4}" sourceName="Booking_Channel">
  <pivotTables>
    <pivotTable tabId="8" name="PivotTable5"/>
    <pivotTable tabId="7" name="PivotTable4"/>
    <pivotTable tabId="9" name="PivotTable6"/>
    <pivotTable tabId="6" name="PivotTable3"/>
    <pivotTable tabId="11" name="PivotTable8"/>
    <pivotTable tabId="14" name="PivotTable9"/>
    <pivotTable tabId="15" name="PivotTable10"/>
    <pivotTable tabId="16" name="PivotTable11"/>
    <pivotTable tabId="17" name="PivotTable12"/>
  </pivotTables>
  <data>
    <tabular pivotCacheId="197126337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8C3914E-DB63-4CAB-8AA1-96FCF7F4DC93}" cache="Slicer_City" caption="City" style="SlicerStyleLight4" rowHeight="234950"/>
  <slicer name="Room_Type" xr10:uid="{BB8D7AA7-45E9-4D49-8CDB-AA10FE0AE7B0}" cache="Slicer_Room_Type" caption="Room_Type" style="SlicerStyleLight4" rowHeight="234950"/>
  <slicer name="Hotel_Name" xr10:uid="{0DE9069F-C982-4BB2-8E77-8568C553CC05}" cache="Slicer_Hotel_Name" caption="Hotel_Name" style="SlicerStyleLight4" rowHeight="234950"/>
  <slicer name="Booking_Channel" xr10:uid="{72FD250E-8229-4506-A312-FE34DE359D49}" cache="Slicer_Booking_Channel" caption="Booking_Channel"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15C6744-F585-42E6-A097-EA53794A0EAA}" cache="Slicer_City" caption="City" style="SlicerStyleLight4" rowHeight="234950"/>
  <slicer name="Room_Type 1" xr10:uid="{B318C9D0-9935-4C13-B3EB-9D1EB242D43C}" cache="Slicer_Room_Type" caption="Room_Type" style="SlicerStyleLight4" rowHeight="234950"/>
  <slicer name="Hotel_Name 1" xr10:uid="{8EC0C058-8AB5-45DC-8BE5-8EF9D5C5A5E7}" cache="Slicer_Hotel_Name" caption="Hotel_Name" style="SlicerStyleLight4" rowHeight="234950"/>
  <slicer name="Booking_Channel 1" xr10:uid="{61100F53-E601-4948-87DD-EA5DA879ED55}" cache="Slicer_Booking_Channel" caption="Booking_Channel"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36E718-EEF0-434C-8559-27E0C9F72E20}" name="Table4" displayName="Table4" ref="A3:O4" totalsRowShown="0">
  <autoFilter ref="A3:O4" xr:uid="{7236E718-EEF0-434C-8559-27E0C9F72E20}"/>
  <tableColumns count="15">
    <tableColumn id="1" xr3:uid="{AF7A17DE-887F-4062-B0F3-612991C45E48}" name="Booking_ID"/>
    <tableColumn id="2" xr3:uid="{05AEB8FA-74F5-4DCC-BAD3-16B110BBB913}" name="Booking_Date"/>
    <tableColumn id="3" xr3:uid="{7291B24C-DDBC-4F6A-BDE0-025000BE2CE6}" name="Check_In"/>
    <tableColumn id="4" xr3:uid="{F81B1030-830B-4570-975E-504137278DBB}" name="Check_Out"/>
    <tableColumn id="5" xr3:uid="{096B8D40-B732-4068-B141-B197A4EE24DA}" name="Hotel_Name"/>
    <tableColumn id="6" xr3:uid="{BA4F72E6-0798-43EC-8AA7-47D2B0A073B9}" name="City"/>
    <tableColumn id="7" xr3:uid="{E66D8807-FF1F-418B-900F-A042103BDD60}" name="Room_Type"/>
    <tableColumn id="8" xr3:uid="{3ABA8569-C462-4179-A4D5-E4F4F47AE955}" name="Customer_Type"/>
    <tableColumn id="9" xr3:uid="{CED29984-C864-4BF1-B8EE-46A1753F46BE}" name="Booking_Channel"/>
    <tableColumn id="10" xr3:uid="{D75AE4A3-E6C0-4001-9288-9079BF855B81}" name="Room_Rate"/>
    <tableColumn id="11" xr3:uid="{8D07A5B4-A79E-49AC-87E6-87895CD55680}" name="Nights"/>
    <tableColumn id="12" xr3:uid="{76F97D2C-CA5B-484D-A130-B480F5ECC049}" name="Revenue"/>
    <tableColumn id="13" xr3:uid="{B1534BBA-C902-4E32-B8BD-CC4DF7A8C5E6}" name="Occupancy_Status"/>
    <tableColumn id="14" xr3:uid="{0DC9D8B4-B878-4C3D-98DA-B02D3480C660}" name="Rating"/>
    <tableColumn id="15" xr3:uid="{2118F502-41CB-40D6-BEA3-FECD7B942D6E}" name="Cancell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98B114-952B-4DEF-A7B0-33F13E306C69}" name="Hospitalitydata" displayName="Hospitalitydata" ref="A1:P502" totalsRowCount="1">
  <autoFilter ref="A1:P501" xr:uid="{4298B114-952B-4DEF-A7B0-33F13E306C69}"/>
  <tableColumns count="16">
    <tableColumn id="1" xr3:uid="{1D6664CD-D12E-4EC4-8A05-064DE93F1740}" name="Booking_ID"/>
    <tableColumn id="2" xr3:uid="{72E3AE15-E3F2-4022-8F06-53D0216A6BBC}" name="Booking_Date"/>
    <tableColumn id="3" xr3:uid="{C35C0403-B8E7-4350-A838-B84A96EA0FCE}" name="Check_In"/>
    <tableColumn id="4" xr3:uid="{3F8F128C-92D8-4EF7-AE8E-E4AE189D42F5}" name="Check_Out"/>
    <tableColumn id="5" xr3:uid="{7AD5C2EC-3071-48B6-8577-2B974A6ACD77}" name="Hotel_Name"/>
    <tableColumn id="6" xr3:uid="{FC1FFD62-9245-42CD-A463-180EE882F1FE}" name="City"/>
    <tableColumn id="7" xr3:uid="{C40F837D-BCD0-4116-89A6-97A5793B88E1}" name="Room_Type"/>
    <tableColumn id="8" xr3:uid="{2D48593A-C382-4A43-9B39-13A6B9E9306C}" name="Customer_Type"/>
    <tableColumn id="9" xr3:uid="{3EF39F70-F7DF-45FA-B255-CF7541B7E39E}" name="Booking_Channel"/>
    <tableColumn id="10" xr3:uid="{16EFE2CE-D5FD-40B8-86BF-35A31AC460C5}" name="Room_Rate"/>
    <tableColumn id="11" xr3:uid="{DE87CE7A-1302-4DF7-A57F-F5DEB5894145}" name="Nights"/>
    <tableColumn id="12" xr3:uid="{08AD0BE1-FB56-4EE3-A9AB-F2119C4C7768}" name="Revenue"/>
    <tableColumn id="13" xr3:uid="{5149FD2C-4523-451E-A00A-166A7F6195C9}" name="Occupancy_Status"/>
    <tableColumn id="14" xr3:uid="{6A1AA530-3EA7-44FF-86EB-6E6120FD334E}" name="Rating"/>
    <tableColumn id="15" xr3:uid="{BA6A1AF8-4BE5-4B06-8815-BADCCDBBB609}" name="Cancellation"/>
    <tableColumn id="16" xr3:uid="{15DC1EB7-B681-4D7D-BA82-3F4297CB842B}" name="Month" dataDxfId="2">
      <calculatedColumnFormula>TEXT(Hospitalitydata[[#This Row],[Booking_Date]],"mmm")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7CCF-3B53-4060-8259-F350B8FFFF16}">
  <dimension ref="A3:B10"/>
  <sheetViews>
    <sheetView workbookViewId="0">
      <selection activeCell="A4" sqref="A4"/>
    </sheetView>
  </sheetViews>
  <sheetFormatPr defaultRowHeight="14.4" x14ac:dyDescent="0.3"/>
  <cols>
    <col min="1" max="1" width="10.77734375" bestFit="1" customWidth="1"/>
    <col min="2" max="2" width="14.88671875" bestFit="1" customWidth="1"/>
  </cols>
  <sheetData>
    <row r="3" spans="1:2" x14ac:dyDescent="0.3">
      <c r="A3" s="6" t="s">
        <v>5</v>
      </c>
      <c r="B3" t="s">
        <v>929</v>
      </c>
    </row>
    <row r="4" spans="1:2" x14ac:dyDescent="0.3">
      <c r="A4" s="7" t="s">
        <v>20</v>
      </c>
      <c r="B4" s="8">
        <v>2674500</v>
      </c>
    </row>
    <row r="5" spans="1:2" x14ac:dyDescent="0.3">
      <c r="A5" s="7" t="s">
        <v>31</v>
      </c>
      <c r="B5" s="8">
        <v>1855500</v>
      </c>
    </row>
    <row r="6" spans="1:2" x14ac:dyDescent="0.3">
      <c r="A6" s="7" t="s">
        <v>87</v>
      </c>
      <c r="B6" s="8">
        <v>2142000</v>
      </c>
    </row>
    <row r="7" spans="1:2" x14ac:dyDescent="0.3">
      <c r="A7" s="7" t="s">
        <v>53</v>
      </c>
      <c r="B7" s="8">
        <v>2235000</v>
      </c>
    </row>
    <row r="8" spans="1:2" x14ac:dyDescent="0.3">
      <c r="A8" s="7" t="s">
        <v>62</v>
      </c>
      <c r="B8" s="8">
        <v>2193500</v>
      </c>
    </row>
    <row r="9" spans="1:2" x14ac:dyDescent="0.3">
      <c r="A9" s="7" t="s">
        <v>927</v>
      </c>
      <c r="B9" s="8"/>
    </row>
    <row r="10" spans="1:2" x14ac:dyDescent="0.3">
      <c r="A10" s="7" t="s">
        <v>928</v>
      </c>
      <c r="B10" s="8">
        <v>11100500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235E-627E-4FBC-8401-0DF412126C44}">
  <dimension ref="A3:B10"/>
  <sheetViews>
    <sheetView workbookViewId="0">
      <selection activeCell="A4" sqref="A4"/>
    </sheetView>
  </sheetViews>
  <sheetFormatPr defaultRowHeight="14.4" x14ac:dyDescent="0.3"/>
  <cols>
    <col min="1" max="1" width="14.6640625" bestFit="1" customWidth="1"/>
    <col min="2" max="2" width="14.88671875" bestFit="1" customWidth="1"/>
  </cols>
  <sheetData>
    <row r="3" spans="1:2" x14ac:dyDescent="0.3">
      <c r="A3" s="6" t="s">
        <v>934</v>
      </c>
      <c r="B3" t="s">
        <v>929</v>
      </c>
    </row>
    <row r="4" spans="1:2" x14ac:dyDescent="0.3">
      <c r="A4" s="7" t="s">
        <v>37</v>
      </c>
      <c r="B4" s="8">
        <v>2258500</v>
      </c>
    </row>
    <row r="5" spans="1:2" x14ac:dyDescent="0.3">
      <c r="A5" s="7" t="s">
        <v>43</v>
      </c>
      <c r="B5" s="8">
        <v>2074500</v>
      </c>
    </row>
    <row r="6" spans="1:2" x14ac:dyDescent="0.3">
      <c r="A6" s="7" t="s">
        <v>19</v>
      </c>
      <c r="B6" s="8">
        <v>2595000</v>
      </c>
    </row>
    <row r="7" spans="1:2" x14ac:dyDescent="0.3">
      <c r="A7" s="7" t="s">
        <v>127</v>
      </c>
      <c r="B7" s="8">
        <v>1979500</v>
      </c>
    </row>
    <row r="8" spans="1:2" x14ac:dyDescent="0.3">
      <c r="A8" s="7" t="s">
        <v>30</v>
      </c>
      <c r="B8" s="8">
        <v>2193000</v>
      </c>
    </row>
    <row r="9" spans="1:2" x14ac:dyDescent="0.3">
      <c r="A9" s="7" t="s">
        <v>927</v>
      </c>
      <c r="B9" s="8"/>
    </row>
    <row r="10" spans="1:2" x14ac:dyDescent="0.3">
      <c r="A10" s="7" t="s">
        <v>928</v>
      </c>
      <c r="B10" s="8">
        <v>11100500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8F856-B697-4A52-8465-99A852B3F233}">
  <dimension ref="A3:B7"/>
  <sheetViews>
    <sheetView workbookViewId="0">
      <selection activeCell="L26" sqref="L26"/>
    </sheetView>
  </sheetViews>
  <sheetFormatPr defaultRowHeight="14.4" x14ac:dyDescent="0.3"/>
  <cols>
    <col min="1" max="1" width="12.44140625" bestFit="1" customWidth="1"/>
    <col min="2" max="2" width="14.88671875" bestFit="1" customWidth="1"/>
  </cols>
  <sheetData>
    <row r="3" spans="1:2" x14ac:dyDescent="0.3">
      <c r="A3" s="6" t="s">
        <v>933</v>
      </c>
      <c r="B3" t="s">
        <v>929</v>
      </c>
    </row>
    <row r="4" spans="1:2" x14ac:dyDescent="0.3">
      <c r="A4" s="7" t="s">
        <v>44</v>
      </c>
      <c r="B4" s="8">
        <v>3478500</v>
      </c>
    </row>
    <row r="5" spans="1:2" x14ac:dyDescent="0.3">
      <c r="A5" s="7" t="s">
        <v>32</v>
      </c>
      <c r="B5" s="8">
        <v>3428500</v>
      </c>
    </row>
    <row r="6" spans="1:2" x14ac:dyDescent="0.3">
      <c r="A6" s="7" t="s">
        <v>21</v>
      </c>
      <c r="B6" s="8">
        <v>4193500</v>
      </c>
    </row>
    <row r="7" spans="1:2" x14ac:dyDescent="0.3">
      <c r="A7" s="7" t="s">
        <v>928</v>
      </c>
      <c r="B7" s="8">
        <v>11100500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51F5-66D6-4091-8942-22F4C2C7B256}">
  <dimension ref="A3:B8"/>
  <sheetViews>
    <sheetView workbookViewId="0">
      <selection activeCell="A4" sqref="A4"/>
    </sheetView>
  </sheetViews>
  <sheetFormatPr defaultRowHeight="14.4" x14ac:dyDescent="0.3"/>
  <cols>
    <col min="1" max="1" width="17.33203125" bestFit="1" customWidth="1"/>
    <col min="2" max="2" width="18.6640625" bestFit="1" customWidth="1"/>
  </cols>
  <sheetData>
    <row r="3" spans="1:2" x14ac:dyDescent="0.3">
      <c r="A3" s="6" t="s">
        <v>932</v>
      </c>
      <c r="B3" t="s">
        <v>930</v>
      </c>
    </row>
    <row r="4" spans="1:2" x14ac:dyDescent="0.3">
      <c r="A4" s="7" t="s">
        <v>46</v>
      </c>
      <c r="B4" s="8">
        <v>123</v>
      </c>
    </row>
    <row r="5" spans="1:2" x14ac:dyDescent="0.3">
      <c r="A5" s="7" t="s">
        <v>23</v>
      </c>
      <c r="B5" s="8">
        <v>125</v>
      </c>
    </row>
    <row r="6" spans="1:2" x14ac:dyDescent="0.3">
      <c r="A6" s="7" t="s">
        <v>33</v>
      </c>
      <c r="B6" s="8">
        <v>100</v>
      </c>
    </row>
    <row r="7" spans="1:2" x14ac:dyDescent="0.3">
      <c r="A7" s="7" t="s">
        <v>38</v>
      </c>
      <c r="B7" s="8">
        <v>152</v>
      </c>
    </row>
    <row r="8" spans="1:2" x14ac:dyDescent="0.3">
      <c r="A8" s="7" t="s">
        <v>928</v>
      </c>
      <c r="B8" s="8">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52DE-2343-4F9F-8DC1-C827ECE349B1}">
  <dimension ref="A3:B7"/>
  <sheetViews>
    <sheetView workbookViewId="0">
      <selection activeCell="A5" sqref="A4:A6"/>
    </sheetView>
  </sheetViews>
  <sheetFormatPr defaultRowHeight="14.4" x14ac:dyDescent="0.3"/>
  <cols>
    <col min="1" max="1" width="15.6640625" bestFit="1" customWidth="1"/>
    <col min="2" max="2" width="18.6640625" bestFit="1" customWidth="1"/>
  </cols>
  <sheetData>
    <row r="3" spans="1:2" x14ac:dyDescent="0.3">
      <c r="A3" s="6" t="s">
        <v>931</v>
      </c>
      <c r="B3" t="s">
        <v>930</v>
      </c>
    </row>
    <row r="4" spans="1:2" x14ac:dyDescent="0.3">
      <c r="A4" s="7" t="s">
        <v>45</v>
      </c>
      <c r="B4" s="8">
        <v>167</v>
      </c>
    </row>
    <row r="5" spans="1:2" x14ac:dyDescent="0.3">
      <c r="A5" s="7" t="s">
        <v>22</v>
      </c>
      <c r="B5" s="8">
        <v>169</v>
      </c>
    </row>
    <row r="6" spans="1:2" x14ac:dyDescent="0.3">
      <c r="A6" s="7" t="s">
        <v>63</v>
      </c>
      <c r="B6" s="8">
        <v>164</v>
      </c>
    </row>
    <row r="7" spans="1:2" x14ac:dyDescent="0.3">
      <c r="A7" s="7" t="s">
        <v>928</v>
      </c>
      <c r="B7" s="8">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B551E-A36C-466C-A5E6-3ECEBEA0FDBC}">
  <dimension ref="A1:O4"/>
  <sheetViews>
    <sheetView workbookViewId="0">
      <selection activeCell="A3" sqref="A3:O4"/>
    </sheetView>
  </sheetViews>
  <sheetFormatPr defaultRowHeight="14.4" x14ac:dyDescent="0.3"/>
  <cols>
    <col min="1" max="1" width="12.88671875" bestFit="1" customWidth="1"/>
    <col min="2" max="2" width="15" bestFit="1" customWidth="1"/>
    <col min="3" max="3" width="11" bestFit="1" customWidth="1"/>
    <col min="4" max="4" width="12.44140625" bestFit="1" customWidth="1"/>
    <col min="5" max="5" width="13.6640625" bestFit="1" customWidth="1"/>
    <col min="6" max="6" width="9.77734375" bestFit="1" customWidth="1"/>
    <col min="7" max="7" width="13.33203125" bestFit="1" customWidth="1"/>
    <col min="8" max="8" width="16.5546875" bestFit="1" customWidth="1"/>
    <col min="9" max="9" width="18.109375" bestFit="1" customWidth="1"/>
    <col min="10" max="10" width="13" bestFit="1" customWidth="1"/>
    <col min="11" max="11" width="9" bestFit="1" customWidth="1"/>
    <col min="12" max="12" width="10.5546875" bestFit="1" customWidth="1"/>
    <col min="13" max="13" width="18.88671875" bestFit="1" customWidth="1"/>
    <col min="14" max="14" width="9" bestFit="1" customWidth="1"/>
    <col min="15" max="15" width="13.5546875" bestFit="1" customWidth="1"/>
  </cols>
  <sheetData>
    <row r="1" spans="1:15" x14ac:dyDescent="0.3">
      <c r="A1" s="2" t="s">
        <v>938</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516</v>
      </c>
      <c r="B4" t="s">
        <v>342</v>
      </c>
      <c r="C4" t="s">
        <v>517</v>
      </c>
      <c r="D4" t="s">
        <v>370</v>
      </c>
      <c r="E4" t="s">
        <v>37</v>
      </c>
      <c r="F4" t="s">
        <v>53</v>
      </c>
      <c r="G4" t="s">
        <v>21</v>
      </c>
      <c r="H4" t="s">
        <v>45</v>
      </c>
      <c r="I4" t="s">
        <v>33</v>
      </c>
      <c r="J4">
        <v>3500</v>
      </c>
      <c r="K4">
        <v>1</v>
      </c>
      <c r="L4">
        <v>3500</v>
      </c>
      <c r="M4" t="s">
        <v>24</v>
      </c>
      <c r="N4">
        <v>4</v>
      </c>
      <c r="O4" t="s">
        <v>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A47E-78F3-472D-8DF2-2778D5724EEE}">
  <dimension ref="A3:B16"/>
  <sheetViews>
    <sheetView workbookViewId="0">
      <selection activeCell="N11" sqref="N11"/>
    </sheetView>
  </sheetViews>
  <sheetFormatPr defaultRowHeight="14.4" x14ac:dyDescent="0.3"/>
  <cols>
    <col min="1" max="1" width="12.5546875" bestFit="1" customWidth="1"/>
    <col min="2" max="2" width="14.88671875" bestFit="1" customWidth="1"/>
  </cols>
  <sheetData>
    <row r="3" spans="1:2" x14ac:dyDescent="0.3">
      <c r="A3" s="6" t="s">
        <v>926</v>
      </c>
      <c r="B3" t="s">
        <v>929</v>
      </c>
    </row>
    <row r="4" spans="1:2" x14ac:dyDescent="0.3">
      <c r="A4" s="7" t="s">
        <v>939</v>
      </c>
      <c r="B4" s="8">
        <v>860000</v>
      </c>
    </row>
    <row r="5" spans="1:2" x14ac:dyDescent="0.3">
      <c r="A5" s="7" t="s">
        <v>940</v>
      </c>
      <c r="B5" s="8">
        <v>891000</v>
      </c>
    </row>
    <row r="6" spans="1:2" x14ac:dyDescent="0.3">
      <c r="A6" s="7" t="s">
        <v>941</v>
      </c>
      <c r="B6" s="8">
        <v>954500</v>
      </c>
    </row>
    <row r="7" spans="1:2" x14ac:dyDescent="0.3">
      <c r="A7" s="7" t="s">
        <v>942</v>
      </c>
      <c r="B7" s="8">
        <v>665500</v>
      </c>
    </row>
    <row r="8" spans="1:2" x14ac:dyDescent="0.3">
      <c r="A8" s="7" t="s">
        <v>943</v>
      </c>
      <c r="B8" s="8">
        <v>1078000</v>
      </c>
    </row>
    <row r="9" spans="1:2" x14ac:dyDescent="0.3">
      <c r="A9" s="7" t="s">
        <v>944</v>
      </c>
      <c r="B9" s="8">
        <v>1142000</v>
      </c>
    </row>
    <row r="10" spans="1:2" x14ac:dyDescent="0.3">
      <c r="A10" s="7" t="s">
        <v>945</v>
      </c>
      <c r="B10" s="8">
        <v>843000</v>
      </c>
    </row>
    <row r="11" spans="1:2" x14ac:dyDescent="0.3">
      <c r="A11" s="7" t="s">
        <v>946</v>
      </c>
      <c r="B11" s="8">
        <v>1146000</v>
      </c>
    </row>
    <row r="12" spans="1:2" x14ac:dyDescent="0.3">
      <c r="A12" s="7" t="s">
        <v>947</v>
      </c>
      <c r="B12" s="8">
        <v>693500</v>
      </c>
    </row>
    <row r="13" spans="1:2" x14ac:dyDescent="0.3">
      <c r="A13" s="7" t="s">
        <v>948</v>
      </c>
      <c r="B13" s="8">
        <v>804500</v>
      </c>
    </row>
    <row r="14" spans="1:2" x14ac:dyDescent="0.3">
      <c r="A14" s="7" t="s">
        <v>949</v>
      </c>
      <c r="B14" s="8">
        <v>991500</v>
      </c>
    </row>
    <row r="15" spans="1:2" x14ac:dyDescent="0.3">
      <c r="A15" s="7" t="s">
        <v>950</v>
      </c>
      <c r="B15" s="8">
        <v>1031000</v>
      </c>
    </row>
    <row r="16" spans="1:2" x14ac:dyDescent="0.3">
      <c r="A16" s="7" t="s">
        <v>928</v>
      </c>
      <c r="B16" s="8">
        <v>11100500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F0B3-AF3D-4801-88EE-CE9515BEF153}">
  <dimension ref="A3:B9"/>
  <sheetViews>
    <sheetView workbookViewId="0">
      <selection activeCell="I28" sqref="I28"/>
    </sheetView>
  </sheetViews>
  <sheetFormatPr defaultRowHeight="14.4" x14ac:dyDescent="0.3"/>
  <cols>
    <col min="1" max="1" width="10.77734375" bestFit="1" customWidth="1"/>
    <col min="2" max="2" width="18.6640625" bestFit="1" customWidth="1"/>
  </cols>
  <sheetData>
    <row r="3" spans="1:2" x14ac:dyDescent="0.3">
      <c r="A3" s="6" t="s">
        <v>13</v>
      </c>
      <c r="B3" t="s">
        <v>930</v>
      </c>
    </row>
    <row r="4" spans="1:2" x14ac:dyDescent="0.3">
      <c r="A4" s="7">
        <v>1</v>
      </c>
      <c r="B4" s="8">
        <v>25</v>
      </c>
    </row>
    <row r="5" spans="1:2" x14ac:dyDescent="0.3">
      <c r="A5" s="7">
        <v>2</v>
      </c>
      <c r="B5" s="8">
        <v>19</v>
      </c>
    </row>
    <row r="6" spans="1:2" x14ac:dyDescent="0.3">
      <c r="A6" s="7">
        <v>3</v>
      </c>
      <c r="B6" s="8">
        <v>130</v>
      </c>
    </row>
    <row r="7" spans="1:2" x14ac:dyDescent="0.3">
      <c r="A7" s="7">
        <v>4</v>
      </c>
      <c r="B7" s="8">
        <v>153</v>
      </c>
    </row>
    <row r="8" spans="1:2" x14ac:dyDescent="0.3">
      <c r="A8" s="7">
        <v>5</v>
      </c>
      <c r="B8" s="8">
        <v>173</v>
      </c>
    </row>
    <row r="9" spans="1:2" x14ac:dyDescent="0.3">
      <c r="A9" s="7" t="s">
        <v>928</v>
      </c>
      <c r="B9" s="8">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ED228-79AC-4ECD-8B46-2BFD1A3DEE9A}">
  <dimension ref="A3:A4"/>
  <sheetViews>
    <sheetView workbookViewId="0">
      <selection activeCell="D3" sqref="D3"/>
    </sheetView>
  </sheetViews>
  <sheetFormatPr defaultRowHeight="14.4" x14ac:dyDescent="0.3"/>
  <cols>
    <col min="1" max="1" width="14.88671875" bestFit="1" customWidth="1"/>
  </cols>
  <sheetData>
    <row r="3" spans="1:1" x14ac:dyDescent="0.3">
      <c r="A3" t="s">
        <v>929</v>
      </c>
    </row>
    <row r="4" spans="1:1" x14ac:dyDescent="0.3">
      <c r="A4" s="1">
        <v>11100500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906F-0CF6-4B83-874E-14210BBE9E20}">
  <dimension ref="D2:N3"/>
  <sheetViews>
    <sheetView workbookViewId="0">
      <selection activeCell="D2" sqref="D2"/>
    </sheetView>
  </sheetViews>
  <sheetFormatPr defaultRowHeight="14.4" x14ac:dyDescent="0.3"/>
  <cols>
    <col min="4" max="4" width="24.21875" bestFit="1" customWidth="1"/>
    <col min="8" max="8" width="11.21875" bestFit="1" customWidth="1"/>
    <col min="10" max="10" width="11.21875" bestFit="1" customWidth="1"/>
    <col min="12" max="12" width="14.77734375" customWidth="1"/>
  </cols>
  <sheetData>
    <row r="2" spans="4:14" ht="23.4" x14ac:dyDescent="0.45">
      <c r="D2" s="5" t="str">
        <f>ROUND(SUM(Hospitalitydata[Revenue])/1000000,1)&amp;"M"</f>
        <v>11.1M</v>
      </c>
      <c r="F2" s="3">
        <f>COUNTA(Hospitalitydata[Booking_ID])</f>
        <v>500</v>
      </c>
      <c r="H2" s="4">
        <f>COUNTIF(Hospitalitydata[Occupancy_Status],"Occupied")/COUNTA(Hospitalitydata[Booking_ID])</f>
        <v>0.83199999999999996</v>
      </c>
      <c r="J2" s="4">
        <f>COUNTIF(Hospitalitydata[Cancellation],"Yes")/COUNTA(Hospitalitydata[Booking_ID])</f>
        <v>0.16800000000000001</v>
      </c>
      <c r="L2" s="3">
        <f>AVERAGE(Hospitalitydata[Rating])</f>
        <v>3.86</v>
      </c>
      <c r="N2" s="3">
        <f>AVERAGE(Hospitalitydata[Nights])</f>
        <v>4.0819999999999999</v>
      </c>
    </row>
    <row r="3" spans="4:14" x14ac:dyDescent="0.3">
      <c r="D3" t="s">
        <v>920</v>
      </c>
      <c r="F3" t="s">
        <v>921</v>
      </c>
      <c r="H3" t="s">
        <v>922</v>
      </c>
      <c r="J3" t="s">
        <v>923</v>
      </c>
      <c r="L3" t="s">
        <v>924</v>
      </c>
      <c r="N3" t="s">
        <v>925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783C-2F64-485A-BB27-BA5ED087F56F}">
  <dimension ref="A3:A4"/>
  <sheetViews>
    <sheetView workbookViewId="0">
      <selection activeCell="A4" sqref="A4"/>
    </sheetView>
  </sheetViews>
  <sheetFormatPr defaultRowHeight="14.4" x14ac:dyDescent="0.3"/>
  <cols>
    <col min="1" max="1" width="18.6640625" bestFit="1" customWidth="1"/>
  </cols>
  <sheetData>
    <row r="3" spans="1:1" x14ac:dyDescent="0.3">
      <c r="A3" t="s">
        <v>930</v>
      </c>
    </row>
    <row r="4" spans="1:1" x14ac:dyDescent="0.3">
      <c r="A4" s="8">
        <v>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3D66-3C1B-463D-8679-E2044E4631BD}">
  <dimension ref="A3:A4"/>
  <sheetViews>
    <sheetView workbookViewId="0">
      <selection activeCell="A4" sqref="A4"/>
    </sheetView>
  </sheetViews>
  <sheetFormatPr defaultRowHeight="14.4" x14ac:dyDescent="0.3"/>
  <cols>
    <col min="1" max="1" width="16" bestFit="1" customWidth="1"/>
  </cols>
  <sheetData>
    <row r="3" spans="1:1" x14ac:dyDescent="0.3">
      <c r="A3" t="s">
        <v>936</v>
      </c>
    </row>
    <row r="4" spans="1:1" x14ac:dyDescent="0.3">
      <c r="A4" s="8">
        <v>3.86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771D-D115-416C-860D-D4473061C662}">
  <dimension ref="A3:A4"/>
  <sheetViews>
    <sheetView topLeftCell="K1" workbookViewId="0">
      <selection activeCell="A3" sqref="A3"/>
    </sheetView>
  </sheetViews>
  <sheetFormatPr defaultRowHeight="14.4" x14ac:dyDescent="0.3"/>
  <cols>
    <col min="1" max="1" width="16" bestFit="1" customWidth="1"/>
  </cols>
  <sheetData>
    <row r="3" spans="1:1" x14ac:dyDescent="0.3">
      <c r="A3" t="s">
        <v>937</v>
      </c>
    </row>
    <row r="4" spans="1:1" x14ac:dyDescent="0.3">
      <c r="A4" s="8">
        <v>4.0819999999999999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C2" workbookViewId="0">
      <selection activeCell="B7" sqref="A2:P501"/>
    </sheetView>
  </sheetViews>
  <sheetFormatPr defaultRowHeight="14.4" x14ac:dyDescent="0.3"/>
  <cols>
    <col min="1" max="1" width="12.5546875" customWidth="1"/>
    <col min="2" max="2" width="20.88671875" customWidth="1"/>
    <col min="3" max="3" width="10.6640625" customWidth="1"/>
    <col min="4" max="4" width="12.109375" customWidth="1"/>
    <col min="5" max="5" width="13.33203125" customWidth="1"/>
    <col min="7" max="7" width="13" customWidth="1"/>
    <col min="8" max="8" width="16.109375" customWidth="1"/>
    <col min="9" max="9" width="17.6640625" customWidth="1"/>
    <col min="10" max="10" width="12.6640625" customWidth="1"/>
    <col min="12" max="12" width="10.21875" customWidth="1"/>
    <col min="13" max="13" width="18.44140625" customWidth="1"/>
    <col min="15" max="15" width="13.2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935</v>
      </c>
    </row>
    <row r="2" spans="1:16" x14ac:dyDescent="0.3">
      <c r="A2" t="s">
        <v>15</v>
      </c>
      <c r="B2" t="s">
        <v>16</v>
      </c>
      <c r="C2" t="s">
        <v>17</v>
      </c>
      <c r="D2" t="s">
        <v>18</v>
      </c>
      <c r="E2" t="s">
        <v>19</v>
      </c>
      <c r="F2" t="s">
        <v>20</v>
      </c>
      <c r="G2" t="s">
        <v>21</v>
      </c>
      <c r="H2" t="s">
        <v>22</v>
      </c>
      <c r="I2" t="s">
        <v>23</v>
      </c>
      <c r="J2">
        <v>9000</v>
      </c>
      <c r="K2">
        <v>1</v>
      </c>
      <c r="L2">
        <v>9000</v>
      </c>
      <c r="M2" t="s">
        <v>24</v>
      </c>
      <c r="N2">
        <v>3</v>
      </c>
      <c r="O2" t="s">
        <v>25</v>
      </c>
      <c r="P2" t="str">
        <f>TEXT(Hospitalitydata[[#This Row],[Booking_Date]],"mmm")</f>
        <v>Nov</v>
      </c>
    </row>
    <row r="3" spans="1:16" x14ac:dyDescent="0.3">
      <c r="A3" t="s">
        <v>26</v>
      </c>
      <c r="B3" t="s">
        <v>27</v>
      </c>
      <c r="C3" t="s">
        <v>28</v>
      </c>
      <c r="D3" t="s">
        <v>29</v>
      </c>
      <c r="E3" t="s">
        <v>30</v>
      </c>
      <c r="F3" t="s">
        <v>31</v>
      </c>
      <c r="G3" t="s">
        <v>32</v>
      </c>
      <c r="H3" t="s">
        <v>22</v>
      </c>
      <c r="I3" t="s">
        <v>33</v>
      </c>
      <c r="J3">
        <v>2500</v>
      </c>
      <c r="K3">
        <v>1</v>
      </c>
      <c r="L3">
        <v>2500</v>
      </c>
      <c r="M3" t="s">
        <v>24</v>
      </c>
      <c r="N3">
        <v>3</v>
      </c>
      <c r="O3" t="s">
        <v>25</v>
      </c>
      <c r="P3" t="str">
        <f>TEXT(Hospitalitydata[[#This Row],[Booking_Date]],"mmm")</f>
        <v>Oct</v>
      </c>
    </row>
    <row r="4" spans="1:16" x14ac:dyDescent="0.3">
      <c r="A4" t="s">
        <v>34</v>
      </c>
      <c r="B4" t="s">
        <v>18</v>
      </c>
      <c r="C4" t="s">
        <v>35</v>
      </c>
      <c r="D4" t="s">
        <v>36</v>
      </c>
      <c r="E4" t="s">
        <v>37</v>
      </c>
      <c r="F4" t="s">
        <v>20</v>
      </c>
      <c r="G4" t="s">
        <v>32</v>
      </c>
      <c r="H4" t="s">
        <v>22</v>
      </c>
      <c r="I4" t="s">
        <v>38</v>
      </c>
      <c r="J4">
        <v>5500</v>
      </c>
      <c r="K4">
        <v>5</v>
      </c>
      <c r="L4">
        <v>27500</v>
      </c>
      <c r="M4" t="s">
        <v>24</v>
      </c>
      <c r="N4">
        <v>5</v>
      </c>
      <c r="O4" t="s">
        <v>25</v>
      </c>
      <c r="P4" t="str">
        <f>TEXT(Hospitalitydata[[#This Row],[Booking_Date]],"mmm")</f>
        <v>Nov</v>
      </c>
    </row>
    <row r="5" spans="1:16" x14ac:dyDescent="0.3">
      <c r="A5" t="s">
        <v>39</v>
      </c>
      <c r="B5" t="s">
        <v>40</v>
      </c>
      <c r="C5" t="s">
        <v>41</v>
      </c>
      <c r="D5" t="s">
        <v>42</v>
      </c>
      <c r="E5" t="s">
        <v>43</v>
      </c>
      <c r="F5" t="s">
        <v>20</v>
      </c>
      <c r="G5" t="s">
        <v>44</v>
      </c>
      <c r="H5" t="s">
        <v>45</v>
      </c>
      <c r="I5" t="s">
        <v>46</v>
      </c>
      <c r="J5">
        <v>3500</v>
      </c>
      <c r="K5">
        <v>2</v>
      </c>
      <c r="L5">
        <v>7000</v>
      </c>
      <c r="M5" t="s">
        <v>47</v>
      </c>
      <c r="N5">
        <v>3</v>
      </c>
      <c r="O5" t="s">
        <v>48</v>
      </c>
      <c r="P5" t="str">
        <f>TEXT(Hospitalitydata[[#This Row],[Booking_Date]],"mmm")</f>
        <v>Jun</v>
      </c>
    </row>
    <row r="6" spans="1:16" x14ac:dyDescent="0.3">
      <c r="A6" t="s">
        <v>49</v>
      </c>
      <c r="B6" t="s">
        <v>50</v>
      </c>
      <c r="C6" t="s">
        <v>51</v>
      </c>
      <c r="D6" t="s">
        <v>52</v>
      </c>
      <c r="E6" t="s">
        <v>43</v>
      </c>
      <c r="F6" t="s">
        <v>53</v>
      </c>
      <c r="G6" t="s">
        <v>32</v>
      </c>
      <c r="H6" t="s">
        <v>22</v>
      </c>
      <c r="I6" t="s">
        <v>46</v>
      </c>
      <c r="J6">
        <v>2500</v>
      </c>
      <c r="K6">
        <v>3</v>
      </c>
      <c r="L6">
        <v>7500</v>
      </c>
      <c r="M6" t="s">
        <v>24</v>
      </c>
      <c r="N6">
        <v>5</v>
      </c>
      <c r="O6" t="s">
        <v>25</v>
      </c>
      <c r="P6" t="str">
        <f>TEXT(Hospitalitydata[[#This Row],[Booking_Date]],"mmm")</f>
        <v>Jun</v>
      </c>
    </row>
    <row r="7" spans="1:16" x14ac:dyDescent="0.3">
      <c r="A7" t="s">
        <v>54</v>
      </c>
      <c r="B7" t="s">
        <v>55</v>
      </c>
      <c r="C7" t="s">
        <v>56</v>
      </c>
      <c r="D7" t="s">
        <v>57</v>
      </c>
      <c r="E7" t="s">
        <v>43</v>
      </c>
      <c r="F7" t="s">
        <v>20</v>
      </c>
      <c r="G7" t="s">
        <v>21</v>
      </c>
      <c r="H7" t="s">
        <v>45</v>
      </c>
      <c r="I7" t="s">
        <v>46</v>
      </c>
      <c r="J7">
        <v>4500</v>
      </c>
      <c r="K7">
        <v>7</v>
      </c>
      <c r="L7">
        <v>31500</v>
      </c>
      <c r="M7" t="s">
        <v>24</v>
      </c>
      <c r="N7">
        <v>5</v>
      </c>
      <c r="O7" t="s">
        <v>25</v>
      </c>
      <c r="P7" t="str">
        <f>TEXT(Hospitalitydata[[#This Row],[Booking_Date]],"mmm")</f>
        <v>Nov</v>
      </c>
    </row>
    <row r="8" spans="1:16" x14ac:dyDescent="0.3">
      <c r="A8" t="s">
        <v>58</v>
      </c>
      <c r="B8" t="s">
        <v>59</v>
      </c>
      <c r="C8" t="s">
        <v>60</v>
      </c>
      <c r="D8" t="s">
        <v>61</v>
      </c>
      <c r="E8" t="s">
        <v>37</v>
      </c>
      <c r="F8" t="s">
        <v>62</v>
      </c>
      <c r="G8" t="s">
        <v>44</v>
      </c>
      <c r="H8" t="s">
        <v>63</v>
      </c>
      <c r="I8" t="s">
        <v>33</v>
      </c>
      <c r="J8">
        <v>2500</v>
      </c>
      <c r="K8">
        <v>2</v>
      </c>
      <c r="L8">
        <v>5000</v>
      </c>
      <c r="M8" t="s">
        <v>24</v>
      </c>
      <c r="N8">
        <v>4</v>
      </c>
      <c r="O8" t="s">
        <v>25</v>
      </c>
      <c r="P8" t="str">
        <f>TEXT(Hospitalitydata[[#This Row],[Booking_Date]],"mmm")</f>
        <v>Feb</v>
      </c>
    </row>
    <row r="9" spans="1:16" x14ac:dyDescent="0.3">
      <c r="A9" t="s">
        <v>64</v>
      </c>
      <c r="B9" t="s">
        <v>65</v>
      </c>
      <c r="C9" t="s">
        <v>66</v>
      </c>
      <c r="D9" t="s">
        <v>67</v>
      </c>
      <c r="E9" t="s">
        <v>19</v>
      </c>
      <c r="F9" t="s">
        <v>31</v>
      </c>
      <c r="G9" t="s">
        <v>21</v>
      </c>
      <c r="H9" t="s">
        <v>45</v>
      </c>
      <c r="I9" t="s">
        <v>33</v>
      </c>
      <c r="J9">
        <v>9000</v>
      </c>
      <c r="K9">
        <v>6</v>
      </c>
      <c r="L9">
        <v>54000</v>
      </c>
      <c r="M9" t="s">
        <v>24</v>
      </c>
      <c r="N9">
        <v>5</v>
      </c>
      <c r="O9" t="s">
        <v>25</v>
      </c>
      <c r="P9" t="str">
        <f>TEXT(Hospitalitydata[[#This Row],[Booking_Date]],"mmm")</f>
        <v>Dec</v>
      </c>
    </row>
    <row r="10" spans="1:16" x14ac:dyDescent="0.3">
      <c r="A10" t="s">
        <v>68</v>
      </c>
      <c r="B10" t="s">
        <v>69</v>
      </c>
      <c r="C10" t="s">
        <v>70</v>
      </c>
      <c r="D10" t="s">
        <v>71</v>
      </c>
      <c r="E10" t="s">
        <v>37</v>
      </c>
      <c r="F10" t="s">
        <v>20</v>
      </c>
      <c r="G10" t="s">
        <v>32</v>
      </c>
      <c r="H10" t="s">
        <v>45</v>
      </c>
      <c r="I10" t="s">
        <v>46</v>
      </c>
      <c r="J10">
        <v>9000</v>
      </c>
      <c r="K10">
        <v>3</v>
      </c>
      <c r="L10">
        <v>27000</v>
      </c>
      <c r="M10" t="s">
        <v>24</v>
      </c>
      <c r="N10">
        <v>3</v>
      </c>
      <c r="O10" t="s">
        <v>25</v>
      </c>
      <c r="P10" t="str">
        <f>TEXT(Hospitalitydata[[#This Row],[Booking_Date]],"mmm")</f>
        <v>Aug</v>
      </c>
    </row>
    <row r="11" spans="1:16" x14ac:dyDescent="0.3">
      <c r="A11" t="s">
        <v>72</v>
      </c>
      <c r="B11" t="s">
        <v>73</v>
      </c>
      <c r="C11" t="s">
        <v>74</v>
      </c>
      <c r="D11" t="s">
        <v>75</v>
      </c>
      <c r="E11" t="s">
        <v>19</v>
      </c>
      <c r="F11" t="s">
        <v>53</v>
      </c>
      <c r="G11" t="s">
        <v>44</v>
      </c>
      <c r="H11" t="s">
        <v>22</v>
      </c>
      <c r="I11" t="s">
        <v>38</v>
      </c>
      <c r="J11">
        <v>3500</v>
      </c>
      <c r="K11">
        <v>1</v>
      </c>
      <c r="L11">
        <v>3500</v>
      </c>
      <c r="M11" t="s">
        <v>47</v>
      </c>
      <c r="N11">
        <v>3</v>
      </c>
      <c r="O11" t="s">
        <v>48</v>
      </c>
      <c r="P11" t="str">
        <f>TEXT(Hospitalitydata[[#This Row],[Booking_Date]],"mmm")</f>
        <v>Jul</v>
      </c>
    </row>
    <row r="12" spans="1:16" x14ac:dyDescent="0.3">
      <c r="A12" t="s">
        <v>76</v>
      </c>
      <c r="B12" t="s">
        <v>77</v>
      </c>
      <c r="C12" t="s">
        <v>78</v>
      </c>
      <c r="D12" t="s">
        <v>79</v>
      </c>
      <c r="E12" t="s">
        <v>37</v>
      </c>
      <c r="F12" t="s">
        <v>31</v>
      </c>
      <c r="G12" t="s">
        <v>44</v>
      </c>
      <c r="H12" t="s">
        <v>22</v>
      </c>
      <c r="I12" t="s">
        <v>38</v>
      </c>
      <c r="J12">
        <v>3500</v>
      </c>
      <c r="K12">
        <v>2</v>
      </c>
      <c r="L12">
        <v>7000</v>
      </c>
      <c r="M12" t="s">
        <v>24</v>
      </c>
      <c r="N12">
        <v>5</v>
      </c>
      <c r="O12" t="s">
        <v>25</v>
      </c>
      <c r="P12" t="str">
        <f>TEXT(Hospitalitydata[[#This Row],[Booking_Date]],"mmm")</f>
        <v>Mar</v>
      </c>
    </row>
    <row r="13" spans="1:16" x14ac:dyDescent="0.3">
      <c r="A13" t="s">
        <v>80</v>
      </c>
      <c r="B13" t="s">
        <v>42</v>
      </c>
      <c r="C13" t="s">
        <v>81</v>
      </c>
      <c r="D13" t="s">
        <v>82</v>
      </c>
      <c r="E13" t="s">
        <v>43</v>
      </c>
      <c r="F13" t="s">
        <v>62</v>
      </c>
      <c r="G13" t="s">
        <v>21</v>
      </c>
      <c r="H13" t="s">
        <v>45</v>
      </c>
      <c r="I13" t="s">
        <v>38</v>
      </c>
      <c r="J13">
        <v>7000</v>
      </c>
      <c r="K13">
        <v>2</v>
      </c>
      <c r="L13">
        <v>14000</v>
      </c>
      <c r="M13" t="s">
        <v>24</v>
      </c>
      <c r="N13">
        <v>3</v>
      </c>
      <c r="O13" t="s">
        <v>25</v>
      </c>
      <c r="P13" t="str">
        <f>TEXT(Hospitalitydata[[#This Row],[Booking_Date]],"mmm")</f>
        <v>Jul</v>
      </c>
    </row>
    <row r="14" spans="1:16" x14ac:dyDescent="0.3">
      <c r="A14" t="s">
        <v>83</v>
      </c>
      <c r="B14" t="s">
        <v>84</v>
      </c>
      <c r="C14" t="s">
        <v>85</v>
      </c>
      <c r="D14" t="s">
        <v>86</v>
      </c>
      <c r="E14" t="s">
        <v>30</v>
      </c>
      <c r="F14" t="s">
        <v>87</v>
      </c>
      <c r="G14" t="s">
        <v>21</v>
      </c>
      <c r="H14" t="s">
        <v>45</v>
      </c>
      <c r="I14" t="s">
        <v>23</v>
      </c>
      <c r="J14">
        <v>5500</v>
      </c>
      <c r="K14">
        <v>4</v>
      </c>
      <c r="L14">
        <v>22000</v>
      </c>
      <c r="M14" t="s">
        <v>24</v>
      </c>
      <c r="N14">
        <v>4</v>
      </c>
      <c r="O14" t="s">
        <v>25</v>
      </c>
      <c r="P14" t="str">
        <f>TEXT(Hospitalitydata[[#This Row],[Booking_Date]],"mmm")</f>
        <v>Nov</v>
      </c>
    </row>
    <row r="15" spans="1:16" x14ac:dyDescent="0.3">
      <c r="A15" t="s">
        <v>88</v>
      </c>
      <c r="B15" t="s">
        <v>89</v>
      </c>
      <c r="C15" t="s">
        <v>90</v>
      </c>
      <c r="D15" t="s">
        <v>91</v>
      </c>
      <c r="E15" t="s">
        <v>43</v>
      </c>
      <c r="F15" t="s">
        <v>87</v>
      </c>
      <c r="G15" t="s">
        <v>44</v>
      </c>
      <c r="H15" t="s">
        <v>45</v>
      </c>
      <c r="I15" t="s">
        <v>38</v>
      </c>
      <c r="J15">
        <v>4500</v>
      </c>
      <c r="K15">
        <v>5</v>
      </c>
      <c r="L15">
        <v>22500</v>
      </c>
      <c r="M15" t="s">
        <v>24</v>
      </c>
      <c r="N15">
        <v>4</v>
      </c>
      <c r="O15" t="s">
        <v>25</v>
      </c>
      <c r="P15" t="str">
        <f>TEXT(Hospitalitydata[[#This Row],[Booking_Date]],"mmm")</f>
        <v>Dec</v>
      </c>
    </row>
    <row r="16" spans="1:16" x14ac:dyDescent="0.3">
      <c r="A16" t="s">
        <v>92</v>
      </c>
      <c r="B16" t="s">
        <v>93</v>
      </c>
      <c r="C16" t="s">
        <v>94</v>
      </c>
      <c r="D16" t="s">
        <v>95</v>
      </c>
      <c r="E16" t="s">
        <v>30</v>
      </c>
      <c r="F16" t="s">
        <v>20</v>
      </c>
      <c r="G16" t="s">
        <v>21</v>
      </c>
      <c r="H16" t="s">
        <v>63</v>
      </c>
      <c r="I16" t="s">
        <v>33</v>
      </c>
      <c r="J16">
        <v>4500</v>
      </c>
      <c r="K16">
        <v>6</v>
      </c>
      <c r="L16">
        <v>27000</v>
      </c>
      <c r="M16" t="s">
        <v>47</v>
      </c>
      <c r="N16">
        <v>2</v>
      </c>
      <c r="O16" t="s">
        <v>48</v>
      </c>
      <c r="P16" t="str">
        <f>TEXT(Hospitalitydata[[#This Row],[Booking_Date]],"mmm")</f>
        <v>Jan</v>
      </c>
    </row>
    <row r="17" spans="1:16" x14ac:dyDescent="0.3">
      <c r="A17" t="s">
        <v>96</v>
      </c>
      <c r="B17" t="s">
        <v>97</v>
      </c>
      <c r="C17" t="s">
        <v>98</v>
      </c>
      <c r="D17" t="s">
        <v>99</v>
      </c>
      <c r="E17" t="s">
        <v>43</v>
      </c>
      <c r="F17" t="s">
        <v>31</v>
      </c>
      <c r="G17" t="s">
        <v>44</v>
      </c>
      <c r="H17" t="s">
        <v>63</v>
      </c>
      <c r="I17" t="s">
        <v>23</v>
      </c>
      <c r="J17">
        <v>3500</v>
      </c>
      <c r="K17">
        <v>7</v>
      </c>
      <c r="L17">
        <v>24500</v>
      </c>
      <c r="M17" t="s">
        <v>24</v>
      </c>
      <c r="N17">
        <v>5</v>
      </c>
      <c r="O17" t="s">
        <v>25</v>
      </c>
      <c r="P17" t="str">
        <f>TEXT(Hospitalitydata[[#This Row],[Booking_Date]],"mmm")</f>
        <v>Mar</v>
      </c>
    </row>
    <row r="18" spans="1:16" x14ac:dyDescent="0.3">
      <c r="A18" t="s">
        <v>100</v>
      </c>
      <c r="B18" t="s">
        <v>101</v>
      </c>
      <c r="C18" t="s">
        <v>102</v>
      </c>
      <c r="D18" t="s">
        <v>98</v>
      </c>
      <c r="E18" t="s">
        <v>30</v>
      </c>
      <c r="F18" t="s">
        <v>20</v>
      </c>
      <c r="G18" t="s">
        <v>32</v>
      </c>
      <c r="H18" t="s">
        <v>22</v>
      </c>
      <c r="I18" t="s">
        <v>38</v>
      </c>
      <c r="J18">
        <v>4500</v>
      </c>
      <c r="K18">
        <v>3</v>
      </c>
      <c r="L18">
        <v>13500</v>
      </c>
      <c r="M18" t="s">
        <v>24</v>
      </c>
      <c r="N18">
        <v>3</v>
      </c>
      <c r="O18" t="s">
        <v>25</v>
      </c>
      <c r="P18" t="str">
        <f>TEXT(Hospitalitydata[[#This Row],[Booking_Date]],"mmm")</f>
        <v>Feb</v>
      </c>
    </row>
    <row r="19" spans="1:16" x14ac:dyDescent="0.3">
      <c r="A19" t="s">
        <v>103</v>
      </c>
      <c r="B19" t="s">
        <v>104</v>
      </c>
      <c r="C19" t="s">
        <v>105</v>
      </c>
      <c r="D19" t="s">
        <v>106</v>
      </c>
      <c r="E19" t="s">
        <v>30</v>
      </c>
      <c r="F19" t="s">
        <v>62</v>
      </c>
      <c r="G19" t="s">
        <v>44</v>
      </c>
      <c r="H19" t="s">
        <v>22</v>
      </c>
      <c r="I19" t="s">
        <v>38</v>
      </c>
      <c r="J19">
        <v>3500</v>
      </c>
      <c r="K19">
        <v>5</v>
      </c>
      <c r="L19">
        <v>17500</v>
      </c>
      <c r="M19" t="s">
        <v>24</v>
      </c>
      <c r="N19">
        <v>4</v>
      </c>
      <c r="O19" t="s">
        <v>25</v>
      </c>
      <c r="P19" t="str">
        <f>TEXT(Hospitalitydata[[#This Row],[Booking_Date]],"mmm")</f>
        <v>Feb</v>
      </c>
    </row>
    <row r="20" spans="1:16" x14ac:dyDescent="0.3">
      <c r="A20" t="s">
        <v>107</v>
      </c>
      <c r="B20" t="s">
        <v>108</v>
      </c>
      <c r="C20" t="s">
        <v>109</v>
      </c>
      <c r="D20" t="s">
        <v>110</v>
      </c>
      <c r="E20" t="s">
        <v>37</v>
      </c>
      <c r="F20" t="s">
        <v>53</v>
      </c>
      <c r="G20" t="s">
        <v>21</v>
      </c>
      <c r="H20" t="s">
        <v>22</v>
      </c>
      <c r="I20" t="s">
        <v>46</v>
      </c>
      <c r="J20">
        <v>9000</v>
      </c>
      <c r="K20">
        <v>5</v>
      </c>
      <c r="L20">
        <v>45000</v>
      </c>
      <c r="M20" t="s">
        <v>24</v>
      </c>
      <c r="N20">
        <v>5</v>
      </c>
      <c r="O20" t="s">
        <v>25</v>
      </c>
      <c r="P20" t="str">
        <f>TEXT(Hospitalitydata[[#This Row],[Booking_Date]],"mmm")</f>
        <v>Apr</v>
      </c>
    </row>
    <row r="21" spans="1:16" x14ac:dyDescent="0.3">
      <c r="A21" t="s">
        <v>111</v>
      </c>
      <c r="B21" t="s">
        <v>112</v>
      </c>
      <c r="C21" t="s">
        <v>113</v>
      </c>
      <c r="D21" t="s">
        <v>114</v>
      </c>
      <c r="E21" t="s">
        <v>43</v>
      </c>
      <c r="F21" t="s">
        <v>87</v>
      </c>
      <c r="G21" t="s">
        <v>32</v>
      </c>
      <c r="H21" t="s">
        <v>22</v>
      </c>
      <c r="I21" t="s">
        <v>33</v>
      </c>
      <c r="J21">
        <v>5500</v>
      </c>
      <c r="K21">
        <v>5</v>
      </c>
      <c r="L21">
        <v>27500</v>
      </c>
      <c r="M21" t="s">
        <v>24</v>
      </c>
      <c r="N21">
        <v>3</v>
      </c>
      <c r="O21" t="s">
        <v>25</v>
      </c>
      <c r="P21" t="str">
        <f>TEXT(Hospitalitydata[[#This Row],[Booking_Date]],"mmm")</f>
        <v>Aug</v>
      </c>
    </row>
    <row r="22" spans="1:16" x14ac:dyDescent="0.3">
      <c r="A22" t="s">
        <v>115</v>
      </c>
      <c r="B22" t="s">
        <v>116</v>
      </c>
      <c r="C22" t="s">
        <v>117</v>
      </c>
      <c r="D22" t="s">
        <v>118</v>
      </c>
      <c r="E22" t="s">
        <v>19</v>
      </c>
      <c r="F22" t="s">
        <v>20</v>
      </c>
      <c r="G22" t="s">
        <v>32</v>
      </c>
      <c r="H22" t="s">
        <v>63</v>
      </c>
      <c r="I22" t="s">
        <v>23</v>
      </c>
      <c r="J22">
        <v>2500</v>
      </c>
      <c r="K22">
        <v>1</v>
      </c>
      <c r="L22">
        <v>2500</v>
      </c>
      <c r="M22" t="s">
        <v>24</v>
      </c>
      <c r="N22">
        <v>3</v>
      </c>
      <c r="O22" t="s">
        <v>25</v>
      </c>
      <c r="P22" t="str">
        <f>TEXT(Hospitalitydata[[#This Row],[Booking_Date]],"mmm")</f>
        <v>Oct</v>
      </c>
    </row>
    <row r="23" spans="1:16" x14ac:dyDescent="0.3">
      <c r="A23" t="s">
        <v>119</v>
      </c>
      <c r="B23" t="s">
        <v>120</v>
      </c>
      <c r="C23" t="s">
        <v>121</v>
      </c>
      <c r="D23" t="s">
        <v>122</v>
      </c>
      <c r="E23" t="s">
        <v>19</v>
      </c>
      <c r="F23" t="s">
        <v>31</v>
      </c>
      <c r="G23" t="s">
        <v>21</v>
      </c>
      <c r="H23" t="s">
        <v>63</v>
      </c>
      <c r="I23" t="s">
        <v>33</v>
      </c>
      <c r="J23">
        <v>9000</v>
      </c>
      <c r="K23">
        <v>3</v>
      </c>
      <c r="L23">
        <v>27000</v>
      </c>
      <c r="M23" t="s">
        <v>24</v>
      </c>
      <c r="N23">
        <v>5</v>
      </c>
      <c r="O23" t="s">
        <v>25</v>
      </c>
      <c r="P23" t="str">
        <f>TEXT(Hospitalitydata[[#This Row],[Booking_Date]],"mmm")</f>
        <v>Sep</v>
      </c>
    </row>
    <row r="24" spans="1:16" x14ac:dyDescent="0.3">
      <c r="A24" t="s">
        <v>123</v>
      </c>
      <c r="B24" t="s">
        <v>124</v>
      </c>
      <c r="C24" t="s">
        <v>125</v>
      </c>
      <c r="D24" t="s">
        <v>126</v>
      </c>
      <c r="E24" t="s">
        <v>127</v>
      </c>
      <c r="F24" t="s">
        <v>87</v>
      </c>
      <c r="G24" t="s">
        <v>44</v>
      </c>
      <c r="H24" t="s">
        <v>63</v>
      </c>
      <c r="I24" t="s">
        <v>38</v>
      </c>
      <c r="J24">
        <v>3500</v>
      </c>
      <c r="K24">
        <v>4</v>
      </c>
      <c r="L24">
        <v>14000</v>
      </c>
      <c r="M24" t="s">
        <v>24</v>
      </c>
      <c r="N24">
        <v>5</v>
      </c>
      <c r="O24" t="s">
        <v>25</v>
      </c>
      <c r="P24" t="str">
        <f>TEXT(Hospitalitydata[[#This Row],[Booking_Date]],"mmm")</f>
        <v>Aug</v>
      </c>
    </row>
    <row r="25" spans="1:16" x14ac:dyDescent="0.3">
      <c r="A25" t="s">
        <v>128</v>
      </c>
      <c r="B25" t="s">
        <v>129</v>
      </c>
      <c r="C25" t="s">
        <v>130</v>
      </c>
      <c r="D25" t="s">
        <v>131</v>
      </c>
      <c r="E25" t="s">
        <v>37</v>
      </c>
      <c r="F25" t="s">
        <v>20</v>
      </c>
      <c r="G25" t="s">
        <v>32</v>
      </c>
      <c r="H25" t="s">
        <v>45</v>
      </c>
      <c r="I25" t="s">
        <v>33</v>
      </c>
      <c r="J25">
        <v>9000</v>
      </c>
      <c r="K25">
        <v>6</v>
      </c>
      <c r="L25">
        <v>54000</v>
      </c>
      <c r="M25" t="s">
        <v>24</v>
      </c>
      <c r="N25">
        <v>4</v>
      </c>
      <c r="O25" t="s">
        <v>25</v>
      </c>
      <c r="P25" t="str">
        <f>TEXT(Hospitalitydata[[#This Row],[Booking_Date]],"mmm")</f>
        <v>Jan</v>
      </c>
    </row>
    <row r="26" spans="1:16" x14ac:dyDescent="0.3">
      <c r="A26" t="s">
        <v>132</v>
      </c>
      <c r="B26" t="s">
        <v>122</v>
      </c>
      <c r="C26" t="s">
        <v>133</v>
      </c>
      <c r="D26" t="s">
        <v>134</v>
      </c>
      <c r="E26" t="s">
        <v>19</v>
      </c>
      <c r="F26" t="s">
        <v>20</v>
      </c>
      <c r="G26" t="s">
        <v>44</v>
      </c>
      <c r="H26" t="s">
        <v>22</v>
      </c>
      <c r="I26" t="s">
        <v>23</v>
      </c>
      <c r="J26">
        <v>5500</v>
      </c>
      <c r="K26">
        <v>2</v>
      </c>
      <c r="L26">
        <v>11000</v>
      </c>
      <c r="M26" t="s">
        <v>24</v>
      </c>
      <c r="N26">
        <v>4</v>
      </c>
      <c r="O26" t="s">
        <v>25</v>
      </c>
      <c r="P26" t="str">
        <f>TEXT(Hospitalitydata[[#This Row],[Booking_Date]],"mmm")</f>
        <v>Oct</v>
      </c>
    </row>
    <row r="27" spans="1:16" x14ac:dyDescent="0.3">
      <c r="A27" t="s">
        <v>135</v>
      </c>
      <c r="B27" t="s">
        <v>94</v>
      </c>
      <c r="C27" t="s">
        <v>136</v>
      </c>
      <c r="D27" t="s">
        <v>137</v>
      </c>
      <c r="E27" t="s">
        <v>19</v>
      </c>
      <c r="F27" t="s">
        <v>53</v>
      </c>
      <c r="G27" t="s">
        <v>44</v>
      </c>
      <c r="H27" t="s">
        <v>63</v>
      </c>
      <c r="I27" t="s">
        <v>33</v>
      </c>
      <c r="J27">
        <v>2500</v>
      </c>
      <c r="K27">
        <v>5</v>
      </c>
      <c r="L27">
        <v>12500</v>
      </c>
      <c r="M27" t="s">
        <v>47</v>
      </c>
      <c r="N27">
        <v>2</v>
      </c>
      <c r="O27" t="s">
        <v>48</v>
      </c>
      <c r="P27" t="str">
        <f>TEXT(Hospitalitydata[[#This Row],[Booking_Date]],"mmm")</f>
        <v>Jan</v>
      </c>
    </row>
    <row r="28" spans="1:16" x14ac:dyDescent="0.3">
      <c r="A28" t="s">
        <v>138</v>
      </c>
      <c r="B28" t="s">
        <v>73</v>
      </c>
      <c r="C28" t="s">
        <v>139</v>
      </c>
      <c r="D28" t="s">
        <v>140</v>
      </c>
      <c r="E28" t="s">
        <v>37</v>
      </c>
      <c r="F28" t="s">
        <v>53</v>
      </c>
      <c r="G28" t="s">
        <v>44</v>
      </c>
      <c r="H28" t="s">
        <v>63</v>
      </c>
      <c r="I28" t="s">
        <v>38</v>
      </c>
      <c r="J28">
        <v>3500</v>
      </c>
      <c r="K28">
        <v>1</v>
      </c>
      <c r="L28">
        <v>3500</v>
      </c>
      <c r="M28" t="s">
        <v>24</v>
      </c>
      <c r="N28">
        <v>4</v>
      </c>
      <c r="O28" t="s">
        <v>25</v>
      </c>
      <c r="P28" t="str">
        <f>TEXT(Hospitalitydata[[#This Row],[Booking_Date]],"mmm")</f>
        <v>Jul</v>
      </c>
    </row>
    <row r="29" spans="1:16" x14ac:dyDescent="0.3">
      <c r="A29" t="s">
        <v>141</v>
      </c>
      <c r="B29" t="s">
        <v>142</v>
      </c>
      <c r="C29" t="s">
        <v>143</v>
      </c>
      <c r="D29" t="s">
        <v>144</v>
      </c>
      <c r="E29" t="s">
        <v>37</v>
      </c>
      <c r="F29" t="s">
        <v>20</v>
      </c>
      <c r="G29" t="s">
        <v>32</v>
      </c>
      <c r="H29" t="s">
        <v>22</v>
      </c>
      <c r="I29" t="s">
        <v>38</v>
      </c>
      <c r="J29">
        <v>3500</v>
      </c>
      <c r="K29">
        <v>3</v>
      </c>
      <c r="L29">
        <v>10500</v>
      </c>
      <c r="M29" t="s">
        <v>47</v>
      </c>
      <c r="N29">
        <v>1</v>
      </c>
      <c r="O29" t="s">
        <v>48</v>
      </c>
      <c r="P29" t="str">
        <f>TEXT(Hospitalitydata[[#This Row],[Booking_Date]],"mmm")</f>
        <v>Mar</v>
      </c>
    </row>
    <row r="30" spans="1:16" x14ac:dyDescent="0.3">
      <c r="A30" t="s">
        <v>145</v>
      </c>
      <c r="B30" t="s">
        <v>146</v>
      </c>
      <c r="C30" t="s">
        <v>147</v>
      </c>
      <c r="D30" t="s">
        <v>148</v>
      </c>
      <c r="E30" t="s">
        <v>43</v>
      </c>
      <c r="F30" t="s">
        <v>62</v>
      </c>
      <c r="G30" t="s">
        <v>32</v>
      </c>
      <c r="H30" t="s">
        <v>22</v>
      </c>
      <c r="I30" t="s">
        <v>23</v>
      </c>
      <c r="J30">
        <v>7000</v>
      </c>
      <c r="K30">
        <v>7</v>
      </c>
      <c r="L30">
        <v>49000</v>
      </c>
      <c r="M30" t="s">
        <v>24</v>
      </c>
      <c r="N30">
        <v>5</v>
      </c>
      <c r="O30" t="s">
        <v>25</v>
      </c>
      <c r="P30" t="str">
        <f>TEXT(Hospitalitydata[[#This Row],[Booking_Date]],"mmm")</f>
        <v>Sep</v>
      </c>
    </row>
    <row r="31" spans="1:16" x14ac:dyDescent="0.3">
      <c r="A31" t="s">
        <v>149</v>
      </c>
      <c r="B31" t="s">
        <v>150</v>
      </c>
      <c r="C31" t="s">
        <v>151</v>
      </c>
      <c r="D31" t="s">
        <v>152</v>
      </c>
      <c r="E31" t="s">
        <v>19</v>
      </c>
      <c r="F31" t="s">
        <v>31</v>
      </c>
      <c r="G31" t="s">
        <v>21</v>
      </c>
      <c r="H31" t="s">
        <v>45</v>
      </c>
      <c r="I31" t="s">
        <v>23</v>
      </c>
      <c r="J31">
        <v>5500</v>
      </c>
      <c r="K31">
        <v>2</v>
      </c>
      <c r="L31">
        <v>11000</v>
      </c>
      <c r="M31" t="s">
        <v>24</v>
      </c>
      <c r="N31">
        <v>5</v>
      </c>
      <c r="O31" t="s">
        <v>25</v>
      </c>
      <c r="P31" t="str">
        <f>TEXT(Hospitalitydata[[#This Row],[Booking_Date]],"mmm")</f>
        <v>Dec</v>
      </c>
    </row>
    <row r="32" spans="1:16" x14ac:dyDescent="0.3">
      <c r="A32" t="s">
        <v>153</v>
      </c>
      <c r="B32" t="s">
        <v>74</v>
      </c>
      <c r="C32" t="s">
        <v>69</v>
      </c>
      <c r="D32" t="s">
        <v>154</v>
      </c>
      <c r="E32" t="s">
        <v>19</v>
      </c>
      <c r="F32" t="s">
        <v>87</v>
      </c>
      <c r="G32" t="s">
        <v>32</v>
      </c>
      <c r="H32" t="s">
        <v>63</v>
      </c>
      <c r="I32" t="s">
        <v>38</v>
      </c>
      <c r="J32">
        <v>7000</v>
      </c>
      <c r="K32">
        <v>5</v>
      </c>
      <c r="L32">
        <v>35000</v>
      </c>
      <c r="M32" t="s">
        <v>24</v>
      </c>
      <c r="N32">
        <v>4</v>
      </c>
      <c r="O32" t="s">
        <v>25</v>
      </c>
      <c r="P32" t="str">
        <f>TEXT(Hospitalitydata[[#This Row],[Booking_Date]],"mmm")</f>
        <v>Aug</v>
      </c>
    </row>
    <row r="33" spans="1:16" x14ac:dyDescent="0.3">
      <c r="A33" t="s">
        <v>155</v>
      </c>
      <c r="B33" t="s">
        <v>156</v>
      </c>
      <c r="C33" t="s">
        <v>144</v>
      </c>
      <c r="D33" t="s">
        <v>157</v>
      </c>
      <c r="E33" t="s">
        <v>43</v>
      </c>
      <c r="F33" t="s">
        <v>53</v>
      </c>
      <c r="G33" t="s">
        <v>21</v>
      </c>
      <c r="H33" t="s">
        <v>22</v>
      </c>
      <c r="I33" t="s">
        <v>23</v>
      </c>
      <c r="J33">
        <v>4500</v>
      </c>
      <c r="K33">
        <v>6</v>
      </c>
      <c r="L33">
        <v>27000</v>
      </c>
      <c r="M33" t="s">
        <v>24</v>
      </c>
      <c r="N33">
        <v>3</v>
      </c>
      <c r="O33" t="s">
        <v>25</v>
      </c>
      <c r="P33" t="str">
        <f>TEXT(Hospitalitydata[[#This Row],[Booking_Date]],"mmm")</f>
        <v>Mar</v>
      </c>
    </row>
    <row r="34" spans="1:16" x14ac:dyDescent="0.3">
      <c r="A34" t="s">
        <v>158</v>
      </c>
      <c r="B34" t="s">
        <v>159</v>
      </c>
      <c r="C34" t="s">
        <v>131</v>
      </c>
      <c r="D34" t="s">
        <v>101</v>
      </c>
      <c r="E34" t="s">
        <v>43</v>
      </c>
      <c r="F34" t="s">
        <v>62</v>
      </c>
      <c r="G34" t="s">
        <v>44</v>
      </c>
      <c r="H34" t="s">
        <v>63</v>
      </c>
      <c r="I34" t="s">
        <v>33</v>
      </c>
      <c r="J34">
        <v>7000</v>
      </c>
      <c r="K34">
        <v>2</v>
      </c>
      <c r="L34">
        <v>14000</v>
      </c>
      <c r="M34" t="s">
        <v>24</v>
      </c>
      <c r="N34">
        <v>4</v>
      </c>
      <c r="O34" t="s">
        <v>25</v>
      </c>
      <c r="P34" t="str">
        <f>TEXT(Hospitalitydata[[#This Row],[Booking_Date]],"mmm")</f>
        <v>Feb</v>
      </c>
    </row>
    <row r="35" spans="1:16" x14ac:dyDescent="0.3">
      <c r="A35" t="s">
        <v>160</v>
      </c>
      <c r="B35" t="s">
        <v>112</v>
      </c>
      <c r="C35" t="s">
        <v>161</v>
      </c>
      <c r="D35" t="s">
        <v>162</v>
      </c>
      <c r="E35" t="s">
        <v>30</v>
      </c>
      <c r="F35" t="s">
        <v>20</v>
      </c>
      <c r="G35" t="s">
        <v>21</v>
      </c>
      <c r="H35" t="s">
        <v>22</v>
      </c>
      <c r="I35" t="s">
        <v>46</v>
      </c>
      <c r="J35">
        <v>9000</v>
      </c>
      <c r="K35">
        <v>5</v>
      </c>
      <c r="L35">
        <v>45000</v>
      </c>
      <c r="M35" t="s">
        <v>24</v>
      </c>
      <c r="N35">
        <v>5</v>
      </c>
      <c r="O35" t="s">
        <v>25</v>
      </c>
      <c r="P35" t="str">
        <f>TEXT(Hospitalitydata[[#This Row],[Booking_Date]],"mmm")</f>
        <v>Aug</v>
      </c>
    </row>
    <row r="36" spans="1:16" x14ac:dyDescent="0.3">
      <c r="A36" t="s">
        <v>163</v>
      </c>
      <c r="B36" t="s">
        <v>164</v>
      </c>
      <c r="C36" t="s">
        <v>65</v>
      </c>
      <c r="D36" t="s">
        <v>150</v>
      </c>
      <c r="E36" t="s">
        <v>30</v>
      </c>
      <c r="F36" t="s">
        <v>62</v>
      </c>
      <c r="G36" t="s">
        <v>44</v>
      </c>
      <c r="H36" t="s">
        <v>63</v>
      </c>
      <c r="I36" t="s">
        <v>33</v>
      </c>
      <c r="J36">
        <v>4500</v>
      </c>
      <c r="K36">
        <v>2</v>
      </c>
      <c r="L36">
        <v>9000</v>
      </c>
      <c r="M36" t="s">
        <v>24</v>
      </c>
      <c r="N36">
        <v>3</v>
      </c>
      <c r="O36" t="s">
        <v>25</v>
      </c>
      <c r="P36" t="str">
        <f>TEXT(Hospitalitydata[[#This Row],[Booking_Date]],"mmm")</f>
        <v>Dec</v>
      </c>
    </row>
    <row r="37" spans="1:16" x14ac:dyDescent="0.3">
      <c r="A37" t="s">
        <v>165</v>
      </c>
      <c r="B37" t="s">
        <v>166</v>
      </c>
      <c r="C37" t="s">
        <v>167</v>
      </c>
      <c r="D37" t="s">
        <v>168</v>
      </c>
      <c r="E37" t="s">
        <v>37</v>
      </c>
      <c r="F37" t="s">
        <v>20</v>
      </c>
      <c r="G37" t="s">
        <v>32</v>
      </c>
      <c r="H37" t="s">
        <v>22</v>
      </c>
      <c r="I37" t="s">
        <v>38</v>
      </c>
      <c r="J37">
        <v>9000</v>
      </c>
      <c r="K37">
        <v>6</v>
      </c>
      <c r="L37">
        <v>54000</v>
      </c>
      <c r="M37" t="s">
        <v>47</v>
      </c>
      <c r="N37">
        <v>4</v>
      </c>
      <c r="O37" t="s">
        <v>48</v>
      </c>
      <c r="P37" t="str">
        <f>TEXT(Hospitalitydata[[#This Row],[Booking_Date]],"mmm")</f>
        <v>Jun</v>
      </c>
    </row>
    <row r="38" spans="1:16" x14ac:dyDescent="0.3">
      <c r="A38" t="s">
        <v>169</v>
      </c>
      <c r="B38" t="s">
        <v>170</v>
      </c>
      <c r="C38" t="s">
        <v>110</v>
      </c>
      <c r="D38" t="s">
        <v>171</v>
      </c>
      <c r="E38" t="s">
        <v>37</v>
      </c>
      <c r="F38" t="s">
        <v>62</v>
      </c>
      <c r="G38" t="s">
        <v>21</v>
      </c>
      <c r="H38" t="s">
        <v>63</v>
      </c>
      <c r="I38" t="s">
        <v>38</v>
      </c>
      <c r="J38">
        <v>4500</v>
      </c>
      <c r="K38">
        <v>1</v>
      </c>
      <c r="L38">
        <v>4500</v>
      </c>
      <c r="M38" t="s">
        <v>24</v>
      </c>
      <c r="N38">
        <v>5</v>
      </c>
      <c r="O38" t="s">
        <v>25</v>
      </c>
      <c r="P38" t="str">
        <f>TEXT(Hospitalitydata[[#This Row],[Booking_Date]],"mmm")</f>
        <v>May</v>
      </c>
    </row>
    <row r="39" spans="1:16" x14ac:dyDescent="0.3">
      <c r="A39" t="s">
        <v>172</v>
      </c>
      <c r="B39" t="s">
        <v>147</v>
      </c>
      <c r="C39" t="s">
        <v>173</v>
      </c>
      <c r="D39" t="s">
        <v>133</v>
      </c>
      <c r="E39" t="s">
        <v>30</v>
      </c>
      <c r="F39" t="s">
        <v>20</v>
      </c>
      <c r="G39" t="s">
        <v>44</v>
      </c>
      <c r="H39" t="s">
        <v>22</v>
      </c>
      <c r="I39" t="s">
        <v>33</v>
      </c>
      <c r="J39">
        <v>2500</v>
      </c>
      <c r="K39">
        <v>1</v>
      </c>
      <c r="L39">
        <v>2500</v>
      </c>
      <c r="M39" t="s">
        <v>47</v>
      </c>
      <c r="N39">
        <v>2</v>
      </c>
      <c r="O39" t="s">
        <v>48</v>
      </c>
      <c r="P39" t="str">
        <f>TEXT(Hospitalitydata[[#This Row],[Booking_Date]],"mmm")</f>
        <v>Oct</v>
      </c>
    </row>
    <row r="40" spans="1:16" x14ac:dyDescent="0.3">
      <c r="A40" t="s">
        <v>174</v>
      </c>
      <c r="B40" t="s">
        <v>175</v>
      </c>
      <c r="C40" t="s">
        <v>176</v>
      </c>
      <c r="D40" t="s">
        <v>177</v>
      </c>
      <c r="E40" t="s">
        <v>37</v>
      </c>
      <c r="F40" t="s">
        <v>62</v>
      </c>
      <c r="G40" t="s">
        <v>21</v>
      </c>
      <c r="H40" t="s">
        <v>45</v>
      </c>
      <c r="I40" t="s">
        <v>23</v>
      </c>
      <c r="J40">
        <v>4500</v>
      </c>
      <c r="K40">
        <v>1</v>
      </c>
      <c r="L40">
        <v>4500</v>
      </c>
      <c r="M40" t="s">
        <v>24</v>
      </c>
      <c r="N40">
        <v>3</v>
      </c>
      <c r="O40" t="s">
        <v>25</v>
      </c>
      <c r="P40" t="str">
        <f>TEXT(Hospitalitydata[[#This Row],[Booking_Date]],"mmm")</f>
        <v>Aug</v>
      </c>
    </row>
    <row r="41" spans="1:16" x14ac:dyDescent="0.3">
      <c r="A41" t="s">
        <v>178</v>
      </c>
      <c r="B41" t="s">
        <v>179</v>
      </c>
      <c r="C41" t="s">
        <v>180</v>
      </c>
      <c r="D41" t="s">
        <v>181</v>
      </c>
      <c r="E41" t="s">
        <v>19</v>
      </c>
      <c r="F41" t="s">
        <v>62</v>
      </c>
      <c r="G41" t="s">
        <v>32</v>
      </c>
      <c r="H41" t="s">
        <v>63</v>
      </c>
      <c r="I41" t="s">
        <v>23</v>
      </c>
      <c r="J41">
        <v>5500</v>
      </c>
      <c r="K41">
        <v>5</v>
      </c>
      <c r="L41">
        <v>27500</v>
      </c>
      <c r="M41" t="s">
        <v>47</v>
      </c>
      <c r="N41">
        <v>2</v>
      </c>
      <c r="O41" t="s">
        <v>48</v>
      </c>
      <c r="P41" t="str">
        <f>TEXT(Hospitalitydata[[#This Row],[Booking_Date]],"mmm")</f>
        <v>Jul</v>
      </c>
    </row>
    <row r="42" spans="1:16" x14ac:dyDescent="0.3">
      <c r="A42" t="s">
        <v>182</v>
      </c>
      <c r="B42" t="s">
        <v>183</v>
      </c>
      <c r="C42" t="s">
        <v>184</v>
      </c>
      <c r="D42" t="s">
        <v>185</v>
      </c>
      <c r="E42" t="s">
        <v>19</v>
      </c>
      <c r="F42" t="s">
        <v>87</v>
      </c>
      <c r="G42" t="s">
        <v>32</v>
      </c>
      <c r="H42" t="s">
        <v>22</v>
      </c>
      <c r="I42" t="s">
        <v>23</v>
      </c>
      <c r="J42">
        <v>5500</v>
      </c>
      <c r="K42">
        <v>3</v>
      </c>
      <c r="L42">
        <v>16500</v>
      </c>
      <c r="M42" t="s">
        <v>24</v>
      </c>
      <c r="N42">
        <v>5</v>
      </c>
      <c r="O42" t="s">
        <v>25</v>
      </c>
      <c r="P42" t="str">
        <f>TEXT(Hospitalitydata[[#This Row],[Booking_Date]],"mmm")</f>
        <v>Apr</v>
      </c>
    </row>
    <row r="43" spans="1:16" x14ac:dyDescent="0.3">
      <c r="A43" t="s">
        <v>186</v>
      </c>
      <c r="B43" t="s">
        <v>82</v>
      </c>
      <c r="C43" t="s">
        <v>187</v>
      </c>
      <c r="D43" t="s">
        <v>112</v>
      </c>
      <c r="E43" t="s">
        <v>37</v>
      </c>
      <c r="F43" t="s">
        <v>87</v>
      </c>
      <c r="G43" t="s">
        <v>32</v>
      </c>
      <c r="H43" t="s">
        <v>45</v>
      </c>
      <c r="I43" t="s">
        <v>23</v>
      </c>
      <c r="J43">
        <v>5500</v>
      </c>
      <c r="K43">
        <v>1</v>
      </c>
      <c r="L43">
        <v>5500</v>
      </c>
      <c r="M43" t="s">
        <v>24</v>
      </c>
      <c r="N43">
        <v>4</v>
      </c>
      <c r="O43" t="s">
        <v>25</v>
      </c>
      <c r="P43" t="str">
        <f>TEXT(Hospitalitydata[[#This Row],[Booking_Date]],"mmm")</f>
        <v>Jul</v>
      </c>
    </row>
    <row r="44" spans="1:16" x14ac:dyDescent="0.3">
      <c r="A44" t="s">
        <v>188</v>
      </c>
      <c r="B44" t="s">
        <v>189</v>
      </c>
      <c r="C44" t="s">
        <v>190</v>
      </c>
      <c r="D44" t="s">
        <v>57</v>
      </c>
      <c r="E44" t="s">
        <v>37</v>
      </c>
      <c r="F44" t="s">
        <v>87</v>
      </c>
      <c r="G44" t="s">
        <v>21</v>
      </c>
      <c r="H44" t="s">
        <v>22</v>
      </c>
      <c r="I44" t="s">
        <v>38</v>
      </c>
      <c r="J44">
        <v>4500</v>
      </c>
      <c r="K44">
        <v>4</v>
      </c>
      <c r="L44">
        <v>18000</v>
      </c>
      <c r="M44" t="s">
        <v>24</v>
      </c>
      <c r="N44">
        <v>3</v>
      </c>
      <c r="O44" t="s">
        <v>25</v>
      </c>
      <c r="P44" t="str">
        <f>TEXT(Hospitalitydata[[#This Row],[Booking_Date]],"mmm")</f>
        <v>Dec</v>
      </c>
    </row>
    <row r="45" spans="1:16" x14ac:dyDescent="0.3">
      <c r="A45" t="s">
        <v>191</v>
      </c>
      <c r="B45" t="s">
        <v>192</v>
      </c>
      <c r="C45" t="s">
        <v>193</v>
      </c>
      <c r="D45" t="s">
        <v>194</v>
      </c>
      <c r="E45" t="s">
        <v>37</v>
      </c>
      <c r="F45" t="s">
        <v>62</v>
      </c>
      <c r="G45" t="s">
        <v>21</v>
      </c>
      <c r="H45" t="s">
        <v>63</v>
      </c>
      <c r="I45" t="s">
        <v>23</v>
      </c>
      <c r="J45">
        <v>4500</v>
      </c>
      <c r="K45">
        <v>5</v>
      </c>
      <c r="L45">
        <v>22500</v>
      </c>
      <c r="M45" t="s">
        <v>47</v>
      </c>
      <c r="N45">
        <v>1</v>
      </c>
      <c r="O45" t="s">
        <v>48</v>
      </c>
      <c r="P45" t="str">
        <f>TEXT(Hospitalitydata[[#This Row],[Booking_Date]],"mmm")</f>
        <v>Dec</v>
      </c>
    </row>
    <row r="46" spans="1:16" x14ac:dyDescent="0.3">
      <c r="A46" t="s">
        <v>195</v>
      </c>
      <c r="B46" t="s">
        <v>131</v>
      </c>
      <c r="C46" t="s">
        <v>196</v>
      </c>
      <c r="D46" t="s">
        <v>142</v>
      </c>
      <c r="E46" t="s">
        <v>127</v>
      </c>
      <c r="F46" t="s">
        <v>31</v>
      </c>
      <c r="G46" t="s">
        <v>21</v>
      </c>
      <c r="H46" t="s">
        <v>45</v>
      </c>
      <c r="I46" t="s">
        <v>38</v>
      </c>
      <c r="J46">
        <v>4500</v>
      </c>
      <c r="K46">
        <v>4</v>
      </c>
      <c r="L46">
        <v>18000</v>
      </c>
      <c r="M46" t="s">
        <v>24</v>
      </c>
      <c r="N46">
        <v>4</v>
      </c>
      <c r="O46" t="s">
        <v>25</v>
      </c>
      <c r="P46" t="str">
        <f>TEXT(Hospitalitydata[[#This Row],[Booking_Date]],"mmm")</f>
        <v>Feb</v>
      </c>
    </row>
    <row r="47" spans="1:16" x14ac:dyDescent="0.3">
      <c r="A47" t="s">
        <v>197</v>
      </c>
      <c r="B47" t="s">
        <v>198</v>
      </c>
      <c r="C47" t="s">
        <v>27</v>
      </c>
      <c r="D47" t="s">
        <v>84</v>
      </c>
      <c r="E47" t="s">
        <v>30</v>
      </c>
      <c r="F47" t="s">
        <v>31</v>
      </c>
      <c r="G47" t="s">
        <v>21</v>
      </c>
      <c r="H47" t="s">
        <v>22</v>
      </c>
      <c r="I47" t="s">
        <v>33</v>
      </c>
      <c r="J47">
        <v>2500</v>
      </c>
      <c r="K47">
        <v>3</v>
      </c>
      <c r="L47">
        <v>7500</v>
      </c>
      <c r="M47" t="s">
        <v>24</v>
      </c>
      <c r="N47">
        <v>3</v>
      </c>
      <c r="O47" t="s">
        <v>25</v>
      </c>
      <c r="P47" t="str">
        <f>TEXT(Hospitalitydata[[#This Row],[Booking_Date]],"mmm")</f>
        <v>Oct</v>
      </c>
    </row>
    <row r="48" spans="1:16" x14ac:dyDescent="0.3">
      <c r="A48" t="s">
        <v>199</v>
      </c>
      <c r="B48" t="s">
        <v>200</v>
      </c>
      <c r="C48" t="s">
        <v>201</v>
      </c>
      <c r="D48" t="s">
        <v>202</v>
      </c>
      <c r="E48" t="s">
        <v>43</v>
      </c>
      <c r="F48" t="s">
        <v>87</v>
      </c>
      <c r="G48" t="s">
        <v>21</v>
      </c>
      <c r="H48" t="s">
        <v>63</v>
      </c>
      <c r="I48" t="s">
        <v>38</v>
      </c>
      <c r="J48">
        <v>9000</v>
      </c>
      <c r="K48">
        <v>1</v>
      </c>
      <c r="L48">
        <v>9000</v>
      </c>
      <c r="M48" t="s">
        <v>47</v>
      </c>
      <c r="N48">
        <v>3</v>
      </c>
      <c r="O48" t="s">
        <v>48</v>
      </c>
      <c r="P48" t="str">
        <f>TEXT(Hospitalitydata[[#This Row],[Booking_Date]],"mmm")</f>
        <v>Jul</v>
      </c>
    </row>
    <row r="49" spans="1:16" x14ac:dyDescent="0.3">
      <c r="A49" t="s">
        <v>203</v>
      </c>
      <c r="B49" t="s">
        <v>204</v>
      </c>
      <c r="C49" t="s">
        <v>205</v>
      </c>
      <c r="D49" t="s">
        <v>200</v>
      </c>
      <c r="E49" t="s">
        <v>127</v>
      </c>
      <c r="F49" t="s">
        <v>53</v>
      </c>
      <c r="G49" t="s">
        <v>21</v>
      </c>
      <c r="H49" t="s">
        <v>22</v>
      </c>
      <c r="I49" t="s">
        <v>33</v>
      </c>
      <c r="J49">
        <v>4500</v>
      </c>
      <c r="K49">
        <v>6</v>
      </c>
      <c r="L49">
        <v>27000</v>
      </c>
      <c r="M49" t="s">
        <v>24</v>
      </c>
      <c r="N49">
        <v>3</v>
      </c>
      <c r="O49" t="s">
        <v>25</v>
      </c>
      <c r="P49" t="str">
        <f>TEXT(Hospitalitydata[[#This Row],[Booking_Date]],"mmm")</f>
        <v>Jun</v>
      </c>
    </row>
    <row r="50" spans="1:16" x14ac:dyDescent="0.3">
      <c r="A50" t="s">
        <v>206</v>
      </c>
      <c r="B50" t="s">
        <v>207</v>
      </c>
      <c r="C50" t="s">
        <v>208</v>
      </c>
      <c r="D50" t="s">
        <v>189</v>
      </c>
      <c r="E50" t="s">
        <v>37</v>
      </c>
      <c r="F50" t="s">
        <v>87</v>
      </c>
      <c r="G50" t="s">
        <v>32</v>
      </c>
      <c r="H50" t="s">
        <v>63</v>
      </c>
      <c r="I50" t="s">
        <v>46</v>
      </c>
      <c r="J50">
        <v>5500</v>
      </c>
      <c r="K50">
        <v>3</v>
      </c>
      <c r="L50">
        <v>16500</v>
      </c>
      <c r="M50" t="s">
        <v>24</v>
      </c>
      <c r="N50">
        <v>3</v>
      </c>
      <c r="O50" t="s">
        <v>25</v>
      </c>
      <c r="P50" t="str">
        <f>TEXT(Hospitalitydata[[#This Row],[Booking_Date]],"mmm")</f>
        <v>Nov</v>
      </c>
    </row>
    <row r="51" spans="1:16" x14ac:dyDescent="0.3">
      <c r="A51" t="s">
        <v>209</v>
      </c>
      <c r="B51" t="s">
        <v>210</v>
      </c>
      <c r="C51" t="s">
        <v>113</v>
      </c>
      <c r="D51" t="s">
        <v>146</v>
      </c>
      <c r="E51" t="s">
        <v>19</v>
      </c>
      <c r="F51" t="s">
        <v>20</v>
      </c>
      <c r="G51" t="s">
        <v>44</v>
      </c>
      <c r="H51" t="s">
        <v>22</v>
      </c>
      <c r="I51" t="s">
        <v>46</v>
      </c>
      <c r="J51">
        <v>9000</v>
      </c>
      <c r="K51">
        <v>4</v>
      </c>
      <c r="L51">
        <v>36000</v>
      </c>
      <c r="M51" t="s">
        <v>24</v>
      </c>
      <c r="N51">
        <v>4</v>
      </c>
      <c r="O51" t="s">
        <v>25</v>
      </c>
      <c r="P51" t="str">
        <f>TEXT(Hospitalitydata[[#This Row],[Booking_Date]],"mmm")</f>
        <v>Aug</v>
      </c>
    </row>
    <row r="52" spans="1:16" x14ac:dyDescent="0.3">
      <c r="A52" t="s">
        <v>211</v>
      </c>
      <c r="B52" t="s">
        <v>212</v>
      </c>
      <c r="C52" t="s">
        <v>213</v>
      </c>
      <c r="D52" t="s">
        <v>214</v>
      </c>
      <c r="E52" t="s">
        <v>19</v>
      </c>
      <c r="F52" t="s">
        <v>62</v>
      </c>
      <c r="G52" t="s">
        <v>32</v>
      </c>
      <c r="H52" t="s">
        <v>45</v>
      </c>
      <c r="I52" t="s">
        <v>33</v>
      </c>
      <c r="J52">
        <v>3500</v>
      </c>
      <c r="K52">
        <v>7</v>
      </c>
      <c r="L52">
        <v>24500</v>
      </c>
      <c r="M52" t="s">
        <v>24</v>
      </c>
      <c r="N52">
        <v>3</v>
      </c>
      <c r="O52" t="s">
        <v>25</v>
      </c>
      <c r="P52" t="str">
        <f>TEXT(Hospitalitydata[[#This Row],[Booking_Date]],"mmm")</f>
        <v>Feb</v>
      </c>
    </row>
    <row r="53" spans="1:16" x14ac:dyDescent="0.3">
      <c r="A53" t="s">
        <v>215</v>
      </c>
      <c r="B53" t="s">
        <v>216</v>
      </c>
      <c r="C53" t="s">
        <v>120</v>
      </c>
      <c r="D53" t="s">
        <v>217</v>
      </c>
      <c r="E53" t="s">
        <v>30</v>
      </c>
      <c r="F53" t="s">
        <v>62</v>
      </c>
      <c r="G53" t="s">
        <v>21</v>
      </c>
      <c r="H53" t="s">
        <v>22</v>
      </c>
      <c r="I53" t="s">
        <v>38</v>
      </c>
      <c r="J53">
        <v>2500</v>
      </c>
      <c r="K53">
        <v>7</v>
      </c>
      <c r="L53">
        <v>17500</v>
      </c>
      <c r="M53" t="s">
        <v>24</v>
      </c>
      <c r="N53">
        <v>5</v>
      </c>
      <c r="O53" t="s">
        <v>25</v>
      </c>
      <c r="P53" t="str">
        <f>TEXT(Hospitalitydata[[#This Row],[Booking_Date]],"mmm")</f>
        <v>Sep</v>
      </c>
    </row>
    <row r="54" spans="1:16" x14ac:dyDescent="0.3">
      <c r="A54" t="s">
        <v>218</v>
      </c>
      <c r="B54" t="s">
        <v>113</v>
      </c>
      <c r="C54" t="s">
        <v>219</v>
      </c>
      <c r="D54" t="s">
        <v>125</v>
      </c>
      <c r="E54" t="s">
        <v>43</v>
      </c>
      <c r="F54" t="s">
        <v>53</v>
      </c>
      <c r="G54" t="s">
        <v>32</v>
      </c>
      <c r="H54" t="s">
        <v>45</v>
      </c>
      <c r="I54" t="s">
        <v>38</v>
      </c>
      <c r="J54">
        <v>3500</v>
      </c>
      <c r="K54">
        <v>2</v>
      </c>
      <c r="L54">
        <v>7000</v>
      </c>
      <c r="M54" t="s">
        <v>24</v>
      </c>
      <c r="N54">
        <v>3</v>
      </c>
      <c r="O54" t="s">
        <v>25</v>
      </c>
      <c r="P54" t="str">
        <f>TEXT(Hospitalitydata[[#This Row],[Booking_Date]],"mmm")</f>
        <v>Sep</v>
      </c>
    </row>
    <row r="55" spans="1:16" x14ac:dyDescent="0.3">
      <c r="A55" t="s">
        <v>220</v>
      </c>
      <c r="B55" t="s">
        <v>94</v>
      </c>
      <c r="C55" t="s">
        <v>221</v>
      </c>
      <c r="D55" t="s">
        <v>222</v>
      </c>
      <c r="E55" t="s">
        <v>30</v>
      </c>
      <c r="F55" t="s">
        <v>31</v>
      </c>
      <c r="G55" t="s">
        <v>21</v>
      </c>
      <c r="H55" t="s">
        <v>63</v>
      </c>
      <c r="I55" t="s">
        <v>38</v>
      </c>
      <c r="J55">
        <v>2500</v>
      </c>
      <c r="K55">
        <v>2</v>
      </c>
      <c r="L55">
        <v>5000</v>
      </c>
      <c r="M55" t="s">
        <v>24</v>
      </c>
      <c r="N55">
        <v>4</v>
      </c>
      <c r="O55" t="s">
        <v>25</v>
      </c>
      <c r="P55" t="str">
        <f>TEXT(Hospitalitydata[[#This Row],[Booking_Date]],"mmm")</f>
        <v>Jan</v>
      </c>
    </row>
    <row r="56" spans="1:16" x14ac:dyDescent="0.3">
      <c r="A56" t="s">
        <v>223</v>
      </c>
      <c r="B56" t="s">
        <v>224</v>
      </c>
      <c r="C56" t="s">
        <v>225</v>
      </c>
      <c r="D56" t="s">
        <v>226</v>
      </c>
      <c r="E56" t="s">
        <v>127</v>
      </c>
      <c r="F56" t="s">
        <v>62</v>
      </c>
      <c r="G56" t="s">
        <v>21</v>
      </c>
      <c r="H56" t="s">
        <v>63</v>
      </c>
      <c r="I56" t="s">
        <v>38</v>
      </c>
      <c r="J56">
        <v>7000</v>
      </c>
      <c r="K56">
        <v>6</v>
      </c>
      <c r="L56">
        <v>42000</v>
      </c>
      <c r="M56" t="s">
        <v>24</v>
      </c>
      <c r="N56">
        <v>5</v>
      </c>
      <c r="O56" t="s">
        <v>25</v>
      </c>
      <c r="P56" t="str">
        <f>TEXT(Hospitalitydata[[#This Row],[Booking_Date]],"mmm")</f>
        <v>Nov</v>
      </c>
    </row>
    <row r="57" spans="1:16" x14ac:dyDescent="0.3">
      <c r="A57" t="s">
        <v>227</v>
      </c>
      <c r="B57" t="s">
        <v>228</v>
      </c>
      <c r="C57" t="s">
        <v>229</v>
      </c>
      <c r="D57" t="s">
        <v>230</v>
      </c>
      <c r="E57" t="s">
        <v>127</v>
      </c>
      <c r="F57" t="s">
        <v>62</v>
      </c>
      <c r="G57" t="s">
        <v>44</v>
      </c>
      <c r="H57" t="s">
        <v>63</v>
      </c>
      <c r="I57" t="s">
        <v>23</v>
      </c>
      <c r="J57">
        <v>9000</v>
      </c>
      <c r="K57">
        <v>2</v>
      </c>
      <c r="L57">
        <v>18000</v>
      </c>
      <c r="M57" t="s">
        <v>24</v>
      </c>
      <c r="N57">
        <v>5</v>
      </c>
      <c r="O57" t="s">
        <v>25</v>
      </c>
      <c r="P57" t="str">
        <f>TEXT(Hospitalitydata[[#This Row],[Booking_Date]],"mmm")</f>
        <v>May</v>
      </c>
    </row>
    <row r="58" spans="1:16" x14ac:dyDescent="0.3">
      <c r="A58" t="s">
        <v>231</v>
      </c>
      <c r="B58" t="s">
        <v>232</v>
      </c>
      <c r="C58" t="s">
        <v>233</v>
      </c>
      <c r="D58" t="s">
        <v>229</v>
      </c>
      <c r="E58" t="s">
        <v>43</v>
      </c>
      <c r="F58" t="s">
        <v>62</v>
      </c>
      <c r="G58" t="s">
        <v>32</v>
      </c>
      <c r="H58" t="s">
        <v>45</v>
      </c>
      <c r="I58" t="s">
        <v>38</v>
      </c>
      <c r="J58">
        <v>4500</v>
      </c>
      <c r="K58">
        <v>3</v>
      </c>
      <c r="L58">
        <v>13500</v>
      </c>
      <c r="M58" t="s">
        <v>24</v>
      </c>
      <c r="N58">
        <v>5</v>
      </c>
      <c r="O58" t="s">
        <v>25</v>
      </c>
      <c r="P58" t="str">
        <f>TEXT(Hospitalitydata[[#This Row],[Booking_Date]],"mmm")</f>
        <v>May</v>
      </c>
    </row>
    <row r="59" spans="1:16" x14ac:dyDescent="0.3">
      <c r="A59" t="s">
        <v>234</v>
      </c>
      <c r="B59" t="s">
        <v>35</v>
      </c>
      <c r="C59" t="s">
        <v>36</v>
      </c>
      <c r="D59" t="s">
        <v>235</v>
      </c>
      <c r="E59" t="s">
        <v>37</v>
      </c>
      <c r="F59" t="s">
        <v>31</v>
      </c>
      <c r="G59" t="s">
        <v>44</v>
      </c>
      <c r="H59" t="s">
        <v>63</v>
      </c>
      <c r="I59" t="s">
        <v>23</v>
      </c>
      <c r="J59">
        <v>3500</v>
      </c>
      <c r="K59">
        <v>6</v>
      </c>
      <c r="L59">
        <v>21000</v>
      </c>
      <c r="M59" t="s">
        <v>24</v>
      </c>
      <c r="N59">
        <v>4</v>
      </c>
      <c r="O59" t="s">
        <v>25</v>
      </c>
      <c r="P59" t="str">
        <f>TEXT(Hospitalitydata[[#This Row],[Booking_Date]],"mmm")</f>
        <v>Dec</v>
      </c>
    </row>
    <row r="60" spans="1:16" x14ac:dyDescent="0.3">
      <c r="A60" t="s">
        <v>236</v>
      </c>
      <c r="B60" t="s">
        <v>237</v>
      </c>
      <c r="C60" t="s">
        <v>228</v>
      </c>
      <c r="D60" t="s">
        <v>238</v>
      </c>
      <c r="E60" t="s">
        <v>30</v>
      </c>
      <c r="F60" t="s">
        <v>53</v>
      </c>
      <c r="G60" t="s">
        <v>44</v>
      </c>
      <c r="H60" t="s">
        <v>45</v>
      </c>
      <c r="I60" t="s">
        <v>46</v>
      </c>
      <c r="J60">
        <v>5500</v>
      </c>
      <c r="K60">
        <v>4</v>
      </c>
      <c r="L60">
        <v>22000</v>
      </c>
      <c r="M60" t="s">
        <v>47</v>
      </c>
      <c r="N60">
        <v>1</v>
      </c>
      <c r="O60" t="s">
        <v>48</v>
      </c>
      <c r="P60" t="str">
        <f>TEXT(Hospitalitydata[[#This Row],[Booking_Date]],"mmm")</f>
        <v>Apr</v>
      </c>
    </row>
    <row r="61" spans="1:16" x14ac:dyDescent="0.3">
      <c r="A61" t="s">
        <v>239</v>
      </c>
      <c r="B61" t="s">
        <v>240</v>
      </c>
      <c r="C61" t="s">
        <v>241</v>
      </c>
      <c r="D61" t="s">
        <v>179</v>
      </c>
      <c r="E61" t="s">
        <v>30</v>
      </c>
      <c r="F61" t="s">
        <v>31</v>
      </c>
      <c r="G61" t="s">
        <v>32</v>
      </c>
      <c r="H61" t="s">
        <v>63</v>
      </c>
      <c r="I61" t="s">
        <v>33</v>
      </c>
      <c r="J61">
        <v>5500</v>
      </c>
      <c r="K61">
        <v>4</v>
      </c>
      <c r="L61">
        <v>22000</v>
      </c>
      <c r="M61" t="s">
        <v>24</v>
      </c>
      <c r="N61">
        <v>5</v>
      </c>
      <c r="O61" t="s">
        <v>25</v>
      </c>
      <c r="P61" t="str">
        <f>TEXT(Hospitalitydata[[#This Row],[Booking_Date]],"mmm")</f>
        <v>Jun</v>
      </c>
    </row>
    <row r="62" spans="1:16" x14ac:dyDescent="0.3">
      <c r="A62" t="s">
        <v>242</v>
      </c>
      <c r="B62" t="s">
        <v>243</v>
      </c>
      <c r="C62" t="s">
        <v>244</v>
      </c>
      <c r="D62" t="s">
        <v>229</v>
      </c>
      <c r="E62" t="s">
        <v>127</v>
      </c>
      <c r="F62" t="s">
        <v>62</v>
      </c>
      <c r="G62" t="s">
        <v>44</v>
      </c>
      <c r="H62" t="s">
        <v>45</v>
      </c>
      <c r="I62" t="s">
        <v>23</v>
      </c>
      <c r="J62">
        <v>2500</v>
      </c>
      <c r="K62">
        <v>4</v>
      </c>
      <c r="L62">
        <v>10000</v>
      </c>
      <c r="M62" t="s">
        <v>24</v>
      </c>
      <c r="N62">
        <v>5</v>
      </c>
      <c r="O62" t="s">
        <v>25</v>
      </c>
      <c r="P62" t="str">
        <f>TEXT(Hospitalitydata[[#This Row],[Booking_Date]],"mmm")</f>
        <v>May</v>
      </c>
    </row>
    <row r="63" spans="1:16" x14ac:dyDescent="0.3">
      <c r="A63" t="s">
        <v>245</v>
      </c>
      <c r="B63" t="s">
        <v>202</v>
      </c>
      <c r="C63" t="s">
        <v>175</v>
      </c>
      <c r="D63" t="s">
        <v>176</v>
      </c>
      <c r="E63" t="s">
        <v>127</v>
      </c>
      <c r="F63" t="s">
        <v>62</v>
      </c>
      <c r="G63" t="s">
        <v>44</v>
      </c>
      <c r="H63" t="s">
        <v>45</v>
      </c>
      <c r="I63" t="s">
        <v>23</v>
      </c>
      <c r="J63">
        <v>9000</v>
      </c>
      <c r="K63">
        <v>5</v>
      </c>
      <c r="L63">
        <v>45000</v>
      </c>
      <c r="M63" t="s">
        <v>24</v>
      </c>
      <c r="N63">
        <v>5</v>
      </c>
      <c r="O63" t="s">
        <v>25</v>
      </c>
      <c r="P63" t="str">
        <f>TEXT(Hospitalitydata[[#This Row],[Booking_Date]],"mmm")</f>
        <v>Jul</v>
      </c>
    </row>
    <row r="64" spans="1:16" x14ac:dyDescent="0.3">
      <c r="A64" t="s">
        <v>246</v>
      </c>
      <c r="B64" t="s">
        <v>247</v>
      </c>
      <c r="C64" t="s">
        <v>232</v>
      </c>
      <c r="D64" t="s">
        <v>248</v>
      </c>
      <c r="E64" t="s">
        <v>127</v>
      </c>
      <c r="F64" t="s">
        <v>87</v>
      </c>
      <c r="G64" t="s">
        <v>44</v>
      </c>
      <c r="H64" t="s">
        <v>63</v>
      </c>
      <c r="I64" t="s">
        <v>23</v>
      </c>
      <c r="J64">
        <v>3500</v>
      </c>
      <c r="K64">
        <v>3</v>
      </c>
      <c r="L64">
        <v>10500</v>
      </c>
      <c r="M64" t="s">
        <v>24</v>
      </c>
      <c r="N64">
        <v>4</v>
      </c>
      <c r="O64" t="s">
        <v>25</v>
      </c>
      <c r="P64" t="str">
        <f>TEXT(Hospitalitydata[[#This Row],[Booking_Date]],"mmm")</f>
        <v>May</v>
      </c>
    </row>
    <row r="65" spans="1:16" x14ac:dyDescent="0.3">
      <c r="A65" t="s">
        <v>249</v>
      </c>
      <c r="B65" t="s">
        <v>250</v>
      </c>
      <c r="C65" t="s">
        <v>154</v>
      </c>
      <c r="D65" t="s">
        <v>251</v>
      </c>
      <c r="E65" t="s">
        <v>19</v>
      </c>
      <c r="F65" t="s">
        <v>20</v>
      </c>
      <c r="G65" t="s">
        <v>21</v>
      </c>
      <c r="H65" t="s">
        <v>45</v>
      </c>
      <c r="I65" t="s">
        <v>23</v>
      </c>
      <c r="J65">
        <v>7000</v>
      </c>
      <c r="K65">
        <v>6</v>
      </c>
      <c r="L65">
        <v>42000</v>
      </c>
      <c r="M65" t="s">
        <v>24</v>
      </c>
      <c r="N65">
        <v>4</v>
      </c>
      <c r="O65" t="s">
        <v>25</v>
      </c>
      <c r="P65" t="str">
        <f>TEXT(Hospitalitydata[[#This Row],[Booking_Date]],"mmm")</f>
        <v>Aug</v>
      </c>
    </row>
    <row r="66" spans="1:16" x14ac:dyDescent="0.3">
      <c r="A66" t="s">
        <v>252</v>
      </c>
      <c r="B66" t="s">
        <v>253</v>
      </c>
      <c r="C66" t="s">
        <v>247</v>
      </c>
      <c r="D66" t="s">
        <v>254</v>
      </c>
      <c r="E66" t="s">
        <v>19</v>
      </c>
      <c r="F66" t="s">
        <v>53</v>
      </c>
      <c r="G66" t="s">
        <v>21</v>
      </c>
      <c r="H66" t="s">
        <v>45</v>
      </c>
      <c r="I66" t="s">
        <v>33</v>
      </c>
      <c r="J66">
        <v>2500</v>
      </c>
      <c r="K66">
        <v>7</v>
      </c>
      <c r="L66">
        <v>17500</v>
      </c>
      <c r="M66" t="s">
        <v>24</v>
      </c>
      <c r="N66">
        <v>3</v>
      </c>
      <c r="O66" t="s">
        <v>25</v>
      </c>
      <c r="P66" t="str">
        <f>TEXT(Hospitalitydata[[#This Row],[Booking_Date]],"mmm")</f>
        <v>May</v>
      </c>
    </row>
    <row r="67" spans="1:16" x14ac:dyDescent="0.3">
      <c r="A67" t="s">
        <v>255</v>
      </c>
      <c r="B67" t="s">
        <v>210</v>
      </c>
      <c r="C67" t="s">
        <v>256</v>
      </c>
      <c r="D67" t="s">
        <v>257</v>
      </c>
      <c r="E67" t="s">
        <v>43</v>
      </c>
      <c r="F67" t="s">
        <v>62</v>
      </c>
      <c r="G67" t="s">
        <v>44</v>
      </c>
      <c r="H67" t="s">
        <v>45</v>
      </c>
      <c r="I67" t="s">
        <v>23</v>
      </c>
      <c r="J67">
        <v>4500</v>
      </c>
      <c r="K67">
        <v>3</v>
      </c>
      <c r="L67">
        <v>13500</v>
      </c>
      <c r="M67" t="s">
        <v>24</v>
      </c>
      <c r="N67">
        <v>5</v>
      </c>
      <c r="O67" t="s">
        <v>25</v>
      </c>
      <c r="P67" t="str">
        <f>TEXT(Hospitalitydata[[#This Row],[Booking_Date]],"mmm")</f>
        <v>Aug</v>
      </c>
    </row>
    <row r="68" spans="1:16" x14ac:dyDescent="0.3">
      <c r="A68" t="s">
        <v>258</v>
      </c>
      <c r="B68" t="s">
        <v>230</v>
      </c>
      <c r="C68" t="s">
        <v>259</v>
      </c>
      <c r="D68" t="s">
        <v>260</v>
      </c>
      <c r="E68" t="s">
        <v>19</v>
      </c>
      <c r="F68" t="s">
        <v>20</v>
      </c>
      <c r="G68" t="s">
        <v>21</v>
      </c>
      <c r="H68" t="s">
        <v>22</v>
      </c>
      <c r="I68" t="s">
        <v>33</v>
      </c>
      <c r="J68">
        <v>5500</v>
      </c>
      <c r="K68">
        <v>6</v>
      </c>
      <c r="L68">
        <v>33000</v>
      </c>
      <c r="M68" t="s">
        <v>24</v>
      </c>
      <c r="N68">
        <v>5</v>
      </c>
      <c r="O68" t="s">
        <v>25</v>
      </c>
      <c r="P68" t="str">
        <f>TEXT(Hospitalitydata[[#This Row],[Booking_Date]],"mmm")</f>
        <v>Jun</v>
      </c>
    </row>
    <row r="69" spans="1:16" x14ac:dyDescent="0.3">
      <c r="A69" t="s">
        <v>261</v>
      </c>
      <c r="B69" t="s">
        <v>262</v>
      </c>
      <c r="C69" t="s">
        <v>196</v>
      </c>
      <c r="D69" t="s">
        <v>78</v>
      </c>
      <c r="E69" t="s">
        <v>30</v>
      </c>
      <c r="F69" t="s">
        <v>20</v>
      </c>
      <c r="G69" t="s">
        <v>44</v>
      </c>
      <c r="H69" t="s">
        <v>22</v>
      </c>
      <c r="I69" t="s">
        <v>38</v>
      </c>
      <c r="J69">
        <v>4500</v>
      </c>
      <c r="K69">
        <v>7</v>
      </c>
      <c r="L69">
        <v>31500</v>
      </c>
      <c r="M69" t="s">
        <v>47</v>
      </c>
      <c r="N69">
        <v>1</v>
      </c>
      <c r="O69" t="s">
        <v>48</v>
      </c>
      <c r="P69" t="str">
        <f>TEXT(Hospitalitydata[[#This Row],[Booking_Date]],"mmm")</f>
        <v>Feb</v>
      </c>
    </row>
    <row r="70" spans="1:16" x14ac:dyDescent="0.3">
      <c r="A70" t="s">
        <v>263</v>
      </c>
      <c r="B70" t="s">
        <v>264</v>
      </c>
      <c r="C70" t="s">
        <v>265</v>
      </c>
      <c r="D70" t="s">
        <v>266</v>
      </c>
      <c r="E70" t="s">
        <v>127</v>
      </c>
      <c r="F70" t="s">
        <v>53</v>
      </c>
      <c r="G70" t="s">
        <v>32</v>
      </c>
      <c r="H70" t="s">
        <v>63</v>
      </c>
      <c r="I70" t="s">
        <v>46</v>
      </c>
      <c r="J70">
        <v>7000</v>
      </c>
      <c r="K70">
        <v>1</v>
      </c>
      <c r="L70">
        <v>7000</v>
      </c>
      <c r="M70" t="s">
        <v>24</v>
      </c>
      <c r="N70">
        <v>3</v>
      </c>
      <c r="O70" t="s">
        <v>25</v>
      </c>
      <c r="P70" t="str">
        <f>TEXT(Hospitalitydata[[#This Row],[Booking_Date]],"mmm")</f>
        <v>Dec</v>
      </c>
    </row>
    <row r="71" spans="1:16" x14ac:dyDescent="0.3">
      <c r="A71" t="s">
        <v>267</v>
      </c>
      <c r="B71" t="s">
        <v>268</v>
      </c>
      <c r="C71" t="s">
        <v>269</v>
      </c>
      <c r="D71" t="s">
        <v>270</v>
      </c>
      <c r="E71" t="s">
        <v>19</v>
      </c>
      <c r="F71" t="s">
        <v>31</v>
      </c>
      <c r="G71" t="s">
        <v>21</v>
      </c>
      <c r="H71" t="s">
        <v>63</v>
      </c>
      <c r="I71" t="s">
        <v>38</v>
      </c>
      <c r="J71">
        <v>5500</v>
      </c>
      <c r="K71">
        <v>7</v>
      </c>
      <c r="L71">
        <v>38500</v>
      </c>
      <c r="M71" t="s">
        <v>24</v>
      </c>
      <c r="N71">
        <v>4</v>
      </c>
      <c r="O71" t="s">
        <v>25</v>
      </c>
      <c r="P71" t="str">
        <f>TEXT(Hospitalitydata[[#This Row],[Booking_Date]],"mmm")</f>
        <v>Nov</v>
      </c>
    </row>
    <row r="72" spans="1:16" x14ac:dyDescent="0.3">
      <c r="A72" t="s">
        <v>271</v>
      </c>
      <c r="B72" t="s">
        <v>210</v>
      </c>
      <c r="C72" t="s">
        <v>71</v>
      </c>
      <c r="D72" t="s">
        <v>272</v>
      </c>
      <c r="E72" t="s">
        <v>19</v>
      </c>
      <c r="F72" t="s">
        <v>20</v>
      </c>
      <c r="G72" t="s">
        <v>44</v>
      </c>
      <c r="H72" t="s">
        <v>63</v>
      </c>
      <c r="I72" t="s">
        <v>33</v>
      </c>
      <c r="J72">
        <v>9000</v>
      </c>
      <c r="K72">
        <v>7</v>
      </c>
      <c r="L72">
        <v>63000</v>
      </c>
      <c r="M72" t="s">
        <v>24</v>
      </c>
      <c r="N72">
        <v>4</v>
      </c>
      <c r="O72" t="s">
        <v>25</v>
      </c>
      <c r="P72" t="str">
        <f>TEXT(Hospitalitydata[[#This Row],[Booking_Date]],"mmm")</f>
        <v>Aug</v>
      </c>
    </row>
    <row r="73" spans="1:16" x14ac:dyDescent="0.3">
      <c r="A73" t="s">
        <v>273</v>
      </c>
      <c r="B73" t="s">
        <v>274</v>
      </c>
      <c r="C73" t="s">
        <v>162</v>
      </c>
      <c r="D73" t="s">
        <v>256</v>
      </c>
      <c r="E73" t="s">
        <v>127</v>
      </c>
      <c r="F73" t="s">
        <v>87</v>
      </c>
      <c r="G73" t="s">
        <v>32</v>
      </c>
      <c r="H73" t="s">
        <v>63</v>
      </c>
      <c r="I73" t="s">
        <v>33</v>
      </c>
      <c r="J73">
        <v>9000</v>
      </c>
      <c r="K73">
        <v>5</v>
      </c>
      <c r="L73">
        <v>45000</v>
      </c>
      <c r="M73" t="s">
        <v>24</v>
      </c>
      <c r="N73">
        <v>3</v>
      </c>
      <c r="O73" t="s">
        <v>25</v>
      </c>
      <c r="P73" t="str">
        <f>TEXT(Hospitalitydata[[#This Row],[Booking_Date]],"mmm")</f>
        <v>Aug</v>
      </c>
    </row>
    <row r="74" spans="1:16" x14ac:dyDescent="0.3">
      <c r="A74" t="s">
        <v>275</v>
      </c>
      <c r="B74" t="s">
        <v>179</v>
      </c>
      <c r="C74" t="s">
        <v>276</v>
      </c>
      <c r="D74" t="s">
        <v>277</v>
      </c>
      <c r="E74" t="s">
        <v>37</v>
      </c>
      <c r="F74" t="s">
        <v>31</v>
      </c>
      <c r="G74" t="s">
        <v>32</v>
      </c>
      <c r="H74" t="s">
        <v>22</v>
      </c>
      <c r="I74" t="s">
        <v>33</v>
      </c>
      <c r="J74">
        <v>4500</v>
      </c>
      <c r="K74">
        <v>3</v>
      </c>
      <c r="L74">
        <v>13500</v>
      </c>
      <c r="M74" t="s">
        <v>24</v>
      </c>
      <c r="N74">
        <v>5</v>
      </c>
      <c r="O74" t="s">
        <v>25</v>
      </c>
      <c r="P74" t="str">
        <f>TEXT(Hospitalitydata[[#This Row],[Booking_Date]],"mmm")</f>
        <v>Jul</v>
      </c>
    </row>
    <row r="75" spans="1:16" x14ac:dyDescent="0.3">
      <c r="A75" t="s">
        <v>278</v>
      </c>
      <c r="B75" t="s">
        <v>221</v>
      </c>
      <c r="C75" t="s">
        <v>137</v>
      </c>
      <c r="D75" t="s">
        <v>101</v>
      </c>
      <c r="E75" t="s">
        <v>127</v>
      </c>
      <c r="F75" t="s">
        <v>53</v>
      </c>
      <c r="G75" t="s">
        <v>44</v>
      </c>
      <c r="H75" t="s">
        <v>45</v>
      </c>
      <c r="I75" t="s">
        <v>23</v>
      </c>
      <c r="J75">
        <v>5500</v>
      </c>
      <c r="K75">
        <v>6</v>
      </c>
      <c r="L75">
        <v>33000</v>
      </c>
      <c r="M75" t="s">
        <v>24</v>
      </c>
      <c r="N75">
        <v>3</v>
      </c>
      <c r="O75" t="s">
        <v>25</v>
      </c>
      <c r="P75" t="str">
        <f>TEXT(Hospitalitydata[[#This Row],[Booking_Date]],"mmm")</f>
        <v>Feb</v>
      </c>
    </row>
    <row r="76" spans="1:16" x14ac:dyDescent="0.3">
      <c r="A76" t="s">
        <v>279</v>
      </c>
      <c r="B76" t="s">
        <v>280</v>
      </c>
      <c r="C76" t="s">
        <v>281</v>
      </c>
      <c r="D76" t="s">
        <v>282</v>
      </c>
      <c r="E76" t="s">
        <v>30</v>
      </c>
      <c r="F76" t="s">
        <v>87</v>
      </c>
      <c r="G76" t="s">
        <v>44</v>
      </c>
      <c r="H76" t="s">
        <v>22</v>
      </c>
      <c r="I76" t="s">
        <v>46</v>
      </c>
      <c r="J76">
        <v>9000</v>
      </c>
      <c r="K76">
        <v>4</v>
      </c>
      <c r="L76">
        <v>36000</v>
      </c>
      <c r="M76" t="s">
        <v>24</v>
      </c>
      <c r="N76">
        <v>5</v>
      </c>
      <c r="O76" t="s">
        <v>25</v>
      </c>
      <c r="P76" t="str">
        <f>TEXT(Hospitalitydata[[#This Row],[Booking_Date]],"mmm")</f>
        <v>May</v>
      </c>
    </row>
    <row r="77" spans="1:16" x14ac:dyDescent="0.3">
      <c r="A77" t="s">
        <v>283</v>
      </c>
      <c r="B77" t="s">
        <v>284</v>
      </c>
      <c r="C77" t="s">
        <v>154</v>
      </c>
      <c r="D77" t="s">
        <v>285</v>
      </c>
      <c r="E77" t="s">
        <v>37</v>
      </c>
      <c r="F77" t="s">
        <v>87</v>
      </c>
      <c r="G77" t="s">
        <v>44</v>
      </c>
      <c r="H77" t="s">
        <v>45</v>
      </c>
      <c r="I77" t="s">
        <v>23</v>
      </c>
      <c r="J77">
        <v>4500</v>
      </c>
      <c r="K77">
        <v>5</v>
      </c>
      <c r="L77">
        <v>22500</v>
      </c>
      <c r="M77" t="s">
        <v>24</v>
      </c>
      <c r="N77">
        <v>4</v>
      </c>
      <c r="O77" t="s">
        <v>25</v>
      </c>
      <c r="P77" t="str">
        <f>TEXT(Hospitalitydata[[#This Row],[Booking_Date]],"mmm")</f>
        <v>Aug</v>
      </c>
    </row>
    <row r="78" spans="1:16" x14ac:dyDescent="0.3">
      <c r="A78" t="s">
        <v>286</v>
      </c>
      <c r="B78" t="s">
        <v>287</v>
      </c>
      <c r="C78" t="s">
        <v>288</v>
      </c>
      <c r="D78" t="s">
        <v>289</v>
      </c>
      <c r="E78" t="s">
        <v>19</v>
      </c>
      <c r="F78" t="s">
        <v>62</v>
      </c>
      <c r="G78" t="s">
        <v>32</v>
      </c>
      <c r="H78" t="s">
        <v>22</v>
      </c>
      <c r="I78" t="s">
        <v>38</v>
      </c>
      <c r="J78">
        <v>9000</v>
      </c>
      <c r="K78">
        <v>1</v>
      </c>
      <c r="L78">
        <v>9000</v>
      </c>
      <c r="M78" t="s">
        <v>24</v>
      </c>
      <c r="N78">
        <v>5</v>
      </c>
      <c r="O78" t="s">
        <v>25</v>
      </c>
      <c r="P78" t="str">
        <f>TEXT(Hospitalitydata[[#This Row],[Booking_Date]],"mmm")</f>
        <v>Apr</v>
      </c>
    </row>
    <row r="79" spans="1:16" x14ac:dyDescent="0.3">
      <c r="A79" t="s">
        <v>290</v>
      </c>
      <c r="B79" t="s">
        <v>170</v>
      </c>
      <c r="C79" t="s">
        <v>291</v>
      </c>
      <c r="D79" t="s">
        <v>292</v>
      </c>
      <c r="E79" t="s">
        <v>19</v>
      </c>
      <c r="F79" t="s">
        <v>87</v>
      </c>
      <c r="G79" t="s">
        <v>32</v>
      </c>
      <c r="H79" t="s">
        <v>63</v>
      </c>
      <c r="I79" t="s">
        <v>33</v>
      </c>
      <c r="J79">
        <v>7000</v>
      </c>
      <c r="K79">
        <v>5</v>
      </c>
      <c r="L79">
        <v>35000</v>
      </c>
      <c r="M79" t="s">
        <v>24</v>
      </c>
      <c r="N79">
        <v>3</v>
      </c>
      <c r="O79" t="s">
        <v>25</v>
      </c>
      <c r="P79" t="str">
        <f>TEXT(Hospitalitydata[[#This Row],[Booking_Date]],"mmm")</f>
        <v>May</v>
      </c>
    </row>
    <row r="80" spans="1:16" x14ac:dyDescent="0.3">
      <c r="A80" t="s">
        <v>293</v>
      </c>
      <c r="B80" t="s">
        <v>233</v>
      </c>
      <c r="C80" t="s">
        <v>294</v>
      </c>
      <c r="D80" t="s">
        <v>295</v>
      </c>
      <c r="E80" t="s">
        <v>43</v>
      </c>
      <c r="F80" t="s">
        <v>31</v>
      </c>
      <c r="G80" t="s">
        <v>44</v>
      </c>
      <c r="H80" t="s">
        <v>22</v>
      </c>
      <c r="I80" t="s">
        <v>33</v>
      </c>
      <c r="J80">
        <v>7000</v>
      </c>
      <c r="K80">
        <v>6</v>
      </c>
      <c r="L80">
        <v>42000</v>
      </c>
      <c r="M80" t="s">
        <v>24</v>
      </c>
      <c r="N80">
        <v>3</v>
      </c>
      <c r="O80" t="s">
        <v>25</v>
      </c>
      <c r="P80" t="str">
        <f>TEXT(Hospitalitydata[[#This Row],[Booking_Date]],"mmm")</f>
        <v>Jun</v>
      </c>
    </row>
    <row r="81" spans="1:16" x14ac:dyDescent="0.3">
      <c r="A81" t="s">
        <v>296</v>
      </c>
      <c r="B81" t="s">
        <v>297</v>
      </c>
      <c r="C81" t="s">
        <v>269</v>
      </c>
      <c r="D81" t="s">
        <v>270</v>
      </c>
      <c r="E81" t="s">
        <v>30</v>
      </c>
      <c r="F81" t="s">
        <v>87</v>
      </c>
      <c r="G81" t="s">
        <v>44</v>
      </c>
      <c r="H81" t="s">
        <v>63</v>
      </c>
      <c r="I81" t="s">
        <v>38</v>
      </c>
      <c r="J81">
        <v>5500</v>
      </c>
      <c r="K81">
        <v>7</v>
      </c>
      <c r="L81">
        <v>38500</v>
      </c>
      <c r="M81" t="s">
        <v>24</v>
      </c>
      <c r="N81">
        <v>3</v>
      </c>
      <c r="O81" t="s">
        <v>25</v>
      </c>
      <c r="P81" t="str">
        <f>TEXT(Hospitalitydata[[#This Row],[Booking_Date]],"mmm")</f>
        <v>Nov</v>
      </c>
    </row>
    <row r="82" spans="1:16" x14ac:dyDescent="0.3">
      <c r="A82" t="s">
        <v>298</v>
      </c>
      <c r="B82" t="s">
        <v>40</v>
      </c>
      <c r="C82" t="s">
        <v>205</v>
      </c>
      <c r="D82" t="s">
        <v>179</v>
      </c>
      <c r="E82" t="s">
        <v>43</v>
      </c>
      <c r="F82" t="s">
        <v>20</v>
      </c>
      <c r="G82" t="s">
        <v>44</v>
      </c>
      <c r="H82" t="s">
        <v>63</v>
      </c>
      <c r="I82" t="s">
        <v>23</v>
      </c>
      <c r="J82">
        <v>4500</v>
      </c>
      <c r="K82">
        <v>1</v>
      </c>
      <c r="L82">
        <v>4500</v>
      </c>
      <c r="M82" t="s">
        <v>47</v>
      </c>
      <c r="N82">
        <v>4</v>
      </c>
      <c r="O82" t="s">
        <v>48</v>
      </c>
      <c r="P82" t="str">
        <f>TEXT(Hospitalitydata[[#This Row],[Booking_Date]],"mmm")</f>
        <v>Jun</v>
      </c>
    </row>
    <row r="83" spans="1:16" x14ac:dyDescent="0.3">
      <c r="A83" t="s">
        <v>299</v>
      </c>
      <c r="B83" t="s">
        <v>198</v>
      </c>
      <c r="C83" t="s">
        <v>28</v>
      </c>
      <c r="D83" t="s">
        <v>300</v>
      </c>
      <c r="E83" t="s">
        <v>37</v>
      </c>
      <c r="F83" t="s">
        <v>20</v>
      </c>
      <c r="G83" t="s">
        <v>32</v>
      </c>
      <c r="H83" t="s">
        <v>45</v>
      </c>
      <c r="I83" t="s">
        <v>38</v>
      </c>
      <c r="J83">
        <v>2500</v>
      </c>
      <c r="K83">
        <v>6</v>
      </c>
      <c r="L83">
        <v>15000</v>
      </c>
      <c r="M83" t="s">
        <v>24</v>
      </c>
      <c r="N83">
        <v>5</v>
      </c>
      <c r="O83" t="s">
        <v>25</v>
      </c>
      <c r="P83" t="str">
        <f>TEXT(Hospitalitydata[[#This Row],[Booking_Date]],"mmm")</f>
        <v>Oct</v>
      </c>
    </row>
    <row r="84" spans="1:16" x14ac:dyDescent="0.3">
      <c r="A84" t="s">
        <v>301</v>
      </c>
      <c r="B84" t="s">
        <v>118</v>
      </c>
      <c r="C84" t="s">
        <v>302</v>
      </c>
      <c r="D84" t="s">
        <v>189</v>
      </c>
      <c r="E84" t="s">
        <v>127</v>
      </c>
      <c r="F84" t="s">
        <v>53</v>
      </c>
      <c r="G84" t="s">
        <v>44</v>
      </c>
      <c r="H84" t="s">
        <v>63</v>
      </c>
      <c r="I84" t="s">
        <v>38</v>
      </c>
      <c r="J84">
        <v>7000</v>
      </c>
      <c r="K84">
        <v>7</v>
      </c>
      <c r="L84">
        <v>49000</v>
      </c>
      <c r="M84" t="s">
        <v>24</v>
      </c>
      <c r="N84">
        <v>5</v>
      </c>
      <c r="O84" t="s">
        <v>25</v>
      </c>
      <c r="P84" t="str">
        <f>TEXT(Hospitalitydata[[#This Row],[Booking_Date]],"mmm")</f>
        <v>Nov</v>
      </c>
    </row>
    <row r="85" spans="1:16" x14ac:dyDescent="0.3">
      <c r="A85" t="s">
        <v>303</v>
      </c>
      <c r="B85" t="s">
        <v>304</v>
      </c>
      <c r="C85" t="s">
        <v>166</v>
      </c>
      <c r="D85" t="s">
        <v>205</v>
      </c>
      <c r="E85" t="s">
        <v>43</v>
      </c>
      <c r="F85" t="s">
        <v>62</v>
      </c>
      <c r="G85" t="s">
        <v>21</v>
      </c>
      <c r="H85" t="s">
        <v>45</v>
      </c>
      <c r="I85" t="s">
        <v>46</v>
      </c>
      <c r="J85">
        <v>2500</v>
      </c>
      <c r="K85">
        <v>5</v>
      </c>
      <c r="L85">
        <v>12500</v>
      </c>
      <c r="M85" t="s">
        <v>24</v>
      </c>
      <c r="N85">
        <v>5</v>
      </c>
      <c r="O85" t="s">
        <v>25</v>
      </c>
      <c r="P85" t="str">
        <f>TEXT(Hospitalitydata[[#This Row],[Booking_Date]],"mmm")</f>
        <v>Jun</v>
      </c>
    </row>
    <row r="86" spans="1:16" x14ac:dyDescent="0.3">
      <c r="A86" t="s">
        <v>305</v>
      </c>
      <c r="B86" t="s">
        <v>264</v>
      </c>
      <c r="C86" t="s">
        <v>56</v>
      </c>
      <c r="D86" t="s">
        <v>65</v>
      </c>
      <c r="E86" t="s">
        <v>19</v>
      </c>
      <c r="F86" t="s">
        <v>20</v>
      </c>
      <c r="G86" t="s">
        <v>44</v>
      </c>
      <c r="H86" t="s">
        <v>63</v>
      </c>
      <c r="I86" t="s">
        <v>38</v>
      </c>
      <c r="J86">
        <v>3500</v>
      </c>
      <c r="K86">
        <v>2</v>
      </c>
      <c r="L86">
        <v>7000</v>
      </c>
      <c r="M86" t="s">
        <v>24</v>
      </c>
      <c r="N86">
        <v>3</v>
      </c>
      <c r="O86" t="s">
        <v>25</v>
      </c>
      <c r="P86" t="str">
        <f>TEXT(Hospitalitydata[[#This Row],[Booking_Date]],"mmm")</f>
        <v>Dec</v>
      </c>
    </row>
    <row r="87" spans="1:16" x14ac:dyDescent="0.3">
      <c r="A87" t="s">
        <v>306</v>
      </c>
      <c r="B87" t="s">
        <v>248</v>
      </c>
      <c r="C87" t="s">
        <v>307</v>
      </c>
      <c r="D87" t="s">
        <v>244</v>
      </c>
      <c r="E87" t="s">
        <v>127</v>
      </c>
      <c r="F87" t="s">
        <v>20</v>
      </c>
      <c r="G87" t="s">
        <v>21</v>
      </c>
      <c r="H87" t="s">
        <v>45</v>
      </c>
      <c r="I87" t="s">
        <v>46</v>
      </c>
      <c r="J87">
        <v>4500</v>
      </c>
      <c r="K87">
        <v>2</v>
      </c>
      <c r="L87">
        <v>9000</v>
      </c>
      <c r="M87" t="s">
        <v>24</v>
      </c>
      <c r="N87">
        <v>5</v>
      </c>
      <c r="O87" t="s">
        <v>25</v>
      </c>
      <c r="P87" t="str">
        <f>TEXT(Hospitalitydata[[#This Row],[Booking_Date]],"mmm")</f>
        <v>May</v>
      </c>
    </row>
    <row r="88" spans="1:16" x14ac:dyDescent="0.3">
      <c r="A88" t="s">
        <v>308</v>
      </c>
      <c r="B88" t="s">
        <v>309</v>
      </c>
      <c r="C88" t="s">
        <v>164</v>
      </c>
      <c r="D88" t="s">
        <v>150</v>
      </c>
      <c r="E88" t="s">
        <v>19</v>
      </c>
      <c r="F88" t="s">
        <v>62</v>
      </c>
      <c r="G88" t="s">
        <v>44</v>
      </c>
      <c r="H88" t="s">
        <v>45</v>
      </c>
      <c r="I88" t="s">
        <v>23</v>
      </c>
      <c r="J88">
        <v>3500</v>
      </c>
      <c r="K88">
        <v>6</v>
      </c>
      <c r="L88">
        <v>21000</v>
      </c>
      <c r="M88" t="s">
        <v>24</v>
      </c>
      <c r="N88">
        <v>5</v>
      </c>
      <c r="O88" t="s">
        <v>25</v>
      </c>
      <c r="P88" t="str">
        <f>TEXT(Hospitalitydata[[#This Row],[Booking_Date]],"mmm")</f>
        <v>Nov</v>
      </c>
    </row>
    <row r="89" spans="1:16" x14ac:dyDescent="0.3">
      <c r="A89" t="s">
        <v>310</v>
      </c>
      <c r="B89" t="s">
        <v>311</v>
      </c>
      <c r="C89" t="s">
        <v>312</v>
      </c>
      <c r="D89" t="s">
        <v>221</v>
      </c>
      <c r="E89" t="s">
        <v>37</v>
      </c>
      <c r="F89" t="s">
        <v>53</v>
      </c>
      <c r="G89" t="s">
        <v>32</v>
      </c>
      <c r="H89" t="s">
        <v>63</v>
      </c>
      <c r="I89" t="s">
        <v>46</v>
      </c>
      <c r="J89">
        <v>4500</v>
      </c>
      <c r="K89">
        <v>7</v>
      </c>
      <c r="L89">
        <v>31500</v>
      </c>
      <c r="M89" t="s">
        <v>24</v>
      </c>
      <c r="N89">
        <v>5</v>
      </c>
      <c r="O89" t="s">
        <v>25</v>
      </c>
      <c r="P89" t="str">
        <f>TEXT(Hospitalitydata[[#This Row],[Booking_Date]],"mmm")</f>
        <v>Jan</v>
      </c>
    </row>
    <row r="90" spans="1:16" x14ac:dyDescent="0.3">
      <c r="A90" t="s">
        <v>313</v>
      </c>
      <c r="B90" t="s">
        <v>67</v>
      </c>
      <c r="C90" t="s">
        <v>314</v>
      </c>
      <c r="D90" t="s">
        <v>193</v>
      </c>
      <c r="E90" t="s">
        <v>43</v>
      </c>
      <c r="F90" t="s">
        <v>31</v>
      </c>
      <c r="G90" t="s">
        <v>32</v>
      </c>
      <c r="H90" t="s">
        <v>63</v>
      </c>
      <c r="I90" t="s">
        <v>46</v>
      </c>
      <c r="J90">
        <v>7000</v>
      </c>
      <c r="K90">
        <v>3</v>
      </c>
      <c r="L90">
        <v>21000</v>
      </c>
      <c r="M90" t="s">
        <v>24</v>
      </c>
      <c r="N90">
        <v>4</v>
      </c>
      <c r="O90" t="s">
        <v>25</v>
      </c>
      <c r="P90" t="str">
        <f>TEXT(Hospitalitydata[[#This Row],[Booking_Date]],"mmm")</f>
        <v>Dec</v>
      </c>
    </row>
    <row r="91" spans="1:16" x14ac:dyDescent="0.3">
      <c r="A91" t="s">
        <v>315</v>
      </c>
      <c r="B91" t="s">
        <v>117</v>
      </c>
      <c r="C91" t="s">
        <v>316</v>
      </c>
      <c r="D91" t="s">
        <v>317</v>
      </c>
      <c r="E91" t="s">
        <v>30</v>
      </c>
      <c r="F91" t="s">
        <v>31</v>
      </c>
      <c r="G91" t="s">
        <v>32</v>
      </c>
      <c r="H91" t="s">
        <v>22</v>
      </c>
      <c r="I91" t="s">
        <v>46</v>
      </c>
      <c r="J91">
        <v>2500</v>
      </c>
      <c r="K91">
        <v>1</v>
      </c>
      <c r="L91">
        <v>2500</v>
      </c>
      <c r="M91" t="s">
        <v>24</v>
      </c>
      <c r="N91">
        <v>5</v>
      </c>
      <c r="O91" t="s">
        <v>25</v>
      </c>
      <c r="P91" t="str">
        <f>TEXT(Hospitalitydata[[#This Row],[Booking_Date]],"mmm")</f>
        <v>Nov</v>
      </c>
    </row>
    <row r="92" spans="1:16" x14ac:dyDescent="0.3">
      <c r="A92" t="s">
        <v>318</v>
      </c>
      <c r="B92" t="s">
        <v>198</v>
      </c>
      <c r="C92" t="s">
        <v>319</v>
      </c>
      <c r="D92" t="s">
        <v>320</v>
      </c>
      <c r="E92" t="s">
        <v>127</v>
      </c>
      <c r="F92" t="s">
        <v>87</v>
      </c>
      <c r="G92" t="s">
        <v>32</v>
      </c>
      <c r="H92" t="s">
        <v>22</v>
      </c>
      <c r="I92" t="s">
        <v>38</v>
      </c>
      <c r="J92">
        <v>3500</v>
      </c>
      <c r="K92">
        <v>7</v>
      </c>
      <c r="L92">
        <v>24500</v>
      </c>
      <c r="M92" t="s">
        <v>24</v>
      </c>
      <c r="N92">
        <v>5</v>
      </c>
      <c r="O92" t="s">
        <v>25</v>
      </c>
      <c r="P92" t="str">
        <f>TEXT(Hospitalitydata[[#This Row],[Booking_Date]],"mmm")</f>
        <v>Oct</v>
      </c>
    </row>
    <row r="93" spans="1:16" x14ac:dyDescent="0.3">
      <c r="A93" t="s">
        <v>321</v>
      </c>
      <c r="B93" t="s">
        <v>268</v>
      </c>
      <c r="C93" t="s">
        <v>66</v>
      </c>
      <c r="D93" t="s">
        <v>322</v>
      </c>
      <c r="E93" t="s">
        <v>37</v>
      </c>
      <c r="F93" t="s">
        <v>87</v>
      </c>
      <c r="G93" t="s">
        <v>21</v>
      </c>
      <c r="H93" t="s">
        <v>45</v>
      </c>
      <c r="I93" t="s">
        <v>33</v>
      </c>
      <c r="J93">
        <v>2500</v>
      </c>
      <c r="K93">
        <v>4</v>
      </c>
      <c r="L93">
        <v>10000</v>
      </c>
      <c r="M93" t="s">
        <v>24</v>
      </c>
      <c r="N93">
        <v>4</v>
      </c>
      <c r="O93" t="s">
        <v>25</v>
      </c>
      <c r="P93" t="str">
        <f>TEXT(Hospitalitydata[[#This Row],[Booking_Date]],"mmm")</f>
        <v>Nov</v>
      </c>
    </row>
    <row r="94" spans="1:16" x14ac:dyDescent="0.3">
      <c r="A94" t="s">
        <v>323</v>
      </c>
      <c r="B94" t="s">
        <v>324</v>
      </c>
      <c r="C94" t="s">
        <v>167</v>
      </c>
      <c r="D94" t="s">
        <v>168</v>
      </c>
      <c r="E94" t="s">
        <v>30</v>
      </c>
      <c r="F94" t="s">
        <v>20</v>
      </c>
      <c r="G94" t="s">
        <v>44</v>
      </c>
      <c r="H94" t="s">
        <v>45</v>
      </c>
      <c r="I94" t="s">
        <v>46</v>
      </c>
      <c r="J94">
        <v>5500</v>
      </c>
      <c r="K94">
        <v>6</v>
      </c>
      <c r="L94">
        <v>33000</v>
      </c>
      <c r="M94" t="s">
        <v>24</v>
      </c>
      <c r="N94">
        <v>4</v>
      </c>
      <c r="O94" t="s">
        <v>25</v>
      </c>
      <c r="P94" t="str">
        <f>TEXT(Hospitalitydata[[#This Row],[Booking_Date]],"mmm")</f>
        <v>Jun</v>
      </c>
    </row>
    <row r="95" spans="1:16" x14ac:dyDescent="0.3">
      <c r="A95" t="s">
        <v>325</v>
      </c>
      <c r="B95" t="s">
        <v>326</v>
      </c>
      <c r="C95" t="s">
        <v>254</v>
      </c>
      <c r="D95" t="s">
        <v>170</v>
      </c>
      <c r="E95" t="s">
        <v>30</v>
      </c>
      <c r="F95" t="s">
        <v>53</v>
      </c>
      <c r="G95" t="s">
        <v>44</v>
      </c>
      <c r="H95" t="s">
        <v>45</v>
      </c>
      <c r="I95" t="s">
        <v>33</v>
      </c>
      <c r="J95">
        <v>5500</v>
      </c>
      <c r="K95">
        <v>1</v>
      </c>
      <c r="L95">
        <v>5500</v>
      </c>
      <c r="M95" t="s">
        <v>47</v>
      </c>
      <c r="N95">
        <v>1</v>
      </c>
      <c r="O95" t="s">
        <v>48</v>
      </c>
      <c r="P95" t="str">
        <f>TEXT(Hospitalitydata[[#This Row],[Booking_Date]],"mmm")</f>
        <v>May</v>
      </c>
    </row>
    <row r="96" spans="1:16" x14ac:dyDescent="0.3">
      <c r="A96" t="s">
        <v>327</v>
      </c>
      <c r="B96" t="s">
        <v>328</v>
      </c>
      <c r="C96" t="s">
        <v>329</v>
      </c>
      <c r="D96" t="s">
        <v>330</v>
      </c>
      <c r="E96" t="s">
        <v>19</v>
      </c>
      <c r="F96" t="s">
        <v>87</v>
      </c>
      <c r="G96" t="s">
        <v>21</v>
      </c>
      <c r="H96" t="s">
        <v>45</v>
      </c>
      <c r="I96" t="s">
        <v>46</v>
      </c>
      <c r="J96">
        <v>5500</v>
      </c>
      <c r="K96">
        <v>5</v>
      </c>
      <c r="L96">
        <v>27500</v>
      </c>
      <c r="M96" t="s">
        <v>24</v>
      </c>
      <c r="N96">
        <v>3</v>
      </c>
      <c r="O96" t="s">
        <v>25</v>
      </c>
      <c r="P96" t="str">
        <f>TEXT(Hospitalitydata[[#This Row],[Booking_Date]],"mmm")</f>
        <v>Sep</v>
      </c>
    </row>
    <row r="97" spans="1:16" x14ac:dyDescent="0.3">
      <c r="A97" t="s">
        <v>331</v>
      </c>
      <c r="B97" t="s">
        <v>112</v>
      </c>
      <c r="C97" t="s">
        <v>113</v>
      </c>
      <c r="D97" t="s">
        <v>272</v>
      </c>
      <c r="E97" t="s">
        <v>30</v>
      </c>
      <c r="F97" t="s">
        <v>62</v>
      </c>
      <c r="G97" t="s">
        <v>21</v>
      </c>
      <c r="H97" t="s">
        <v>45</v>
      </c>
      <c r="I97" t="s">
        <v>46</v>
      </c>
      <c r="J97">
        <v>5500</v>
      </c>
      <c r="K97">
        <v>6</v>
      </c>
      <c r="L97">
        <v>33000</v>
      </c>
      <c r="M97" t="s">
        <v>24</v>
      </c>
      <c r="N97">
        <v>5</v>
      </c>
      <c r="O97" t="s">
        <v>25</v>
      </c>
      <c r="P97" t="str">
        <f>TEXT(Hospitalitydata[[#This Row],[Booking_Date]],"mmm")</f>
        <v>Aug</v>
      </c>
    </row>
    <row r="98" spans="1:16" x14ac:dyDescent="0.3">
      <c r="A98" t="s">
        <v>332</v>
      </c>
      <c r="B98" t="s">
        <v>330</v>
      </c>
      <c r="C98" t="s">
        <v>333</v>
      </c>
      <c r="D98" t="s">
        <v>173</v>
      </c>
      <c r="E98" t="s">
        <v>127</v>
      </c>
      <c r="F98" t="s">
        <v>20</v>
      </c>
      <c r="G98" t="s">
        <v>21</v>
      </c>
      <c r="H98" t="s">
        <v>45</v>
      </c>
      <c r="I98" t="s">
        <v>38</v>
      </c>
      <c r="J98">
        <v>5500</v>
      </c>
      <c r="K98">
        <v>5</v>
      </c>
      <c r="L98">
        <v>27500</v>
      </c>
      <c r="M98" t="s">
        <v>24</v>
      </c>
      <c r="N98">
        <v>3</v>
      </c>
      <c r="O98" t="s">
        <v>25</v>
      </c>
      <c r="P98" t="str">
        <f>TEXT(Hospitalitydata[[#This Row],[Booking_Date]],"mmm")</f>
        <v>Oct</v>
      </c>
    </row>
    <row r="99" spans="1:16" x14ac:dyDescent="0.3">
      <c r="A99" t="s">
        <v>334</v>
      </c>
      <c r="B99" t="s">
        <v>248</v>
      </c>
      <c r="C99" t="s">
        <v>335</v>
      </c>
      <c r="D99" t="s">
        <v>336</v>
      </c>
      <c r="E99" t="s">
        <v>127</v>
      </c>
      <c r="F99" t="s">
        <v>62</v>
      </c>
      <c r="G99" t="s">
        <v>44</v>
      </c>
      <c r="H99" t="s">
        <v>22</v>
      </c>
      <c r="I99" t="s">
        <v>33</v>
      </c>
      <c r="J99">
        <v>4500</v>
      </c>
      <c r="K99">
        <v>6</v>
      </c>
      <c r="L99">
        <v>27000</v>
      </c>
      <c r="M99" t="s">
        <v>24</v>
      </c>
      <c r="N99">
        <v>4</v>
      </c>
      <c r="O99" t="s">
        <v>25</v>
      </c>
      <c r="P99" t="str">
        <f>TEXT(Hospitalitydata[[#This Row],[Booking_Date]],"mmm")</f>
        <v>May</v>
      </c>
    </row>
    <row r="100" spans="1:16" x14ac:dyDescent="0.3">
      <c r="A100" t="s">
        <v>337</v>
      </c>
      <c r="B100" t="s">
        <v>51</v>
      </c>
      <c r="C100" t="s">
        <v>338</v>
      </c>
      <c r="D100" t="s">
        <v>339</v>
      </c>
      <c r="E100" t="s">
        <v>43</v>
      </c>
      <c r="F100" t="s">
        <v>87</v>
      </c>
      <c r="G100" t="s">
        <v>44</v>
      </c>
      <c r="H100" t="s">
        <v>63</v>
      </c>
      <c r="I100" t="s">
        <v>46</v>
      </c>
      <c r="J100">
        <v>7000</v>
      </c>
      <c r="K100">
        <v>5</v>
      </c>
      <c r="L100">
        <v>35000</v>
      </c>
      <c r="M100" t="s">
        <v>24</v>
      </c>
      <c r="N100">
        <v>3</v>
      </c>
      <c r="O100" t="s">
        <v>25</v>
      </c>
      <c r="P100" t="str">
        <f>TEXT(Hospitalitydata[[#This Row],[Booking_Date]],"mmm")</f>
        <v>Jul</v>
      </c>
    </row>
    <row r="101" spans="1:16" x14ac:dyDescent="0.3">
      <c r="A101" t="s">
        <v>340</v>
      </c>
      <c r="B101" t="s">
        <v>93</v>
      </c>
      <c r="C101" t="s">
        <v>341</v>
      </c>
      <c r="D101" t="s">
        <v>342</v>
      </c>
      <c r="E101" t="s">
        <v>127</v>
      </c>
      <c r="F101" t="s">
        <v>62</v>
      </c>
      <c r="G101" t="s">
        <v>44</v>
      </c>
      <c r="H101" t="s">
        <v>22</v>
      </c>
      <c r="I101" t="s">
        <v>38</v>
      </c>
      <c r="J101">
        <v>4500</v>
      </c>
      <c r="K101">
        <v>6</v>
      </c>
      <c r="L101">
        <v>27000</v>
      </c>
      <c r="M101" t="s">
        <v>24</v>
      </c>
      <c r="N101">
        <v>5</v>
      </c>
      <c r="O101" t="s">
        <v>25</v>
      </c>
      <c r="P101" t="str">
        <f>TEXT(Hospitalitydata[[#This Row],[Booking_Date]],"mmm")</f>
        <v>Jan</v>
      </c>
    </row>
    <row r="102" spans="1:16" x14ac:dyDescent="0.3">
      <c r="A102" t="s">
        <v>343</v>
      </c>
      <c r="B102" t="s">
        <v>50</v>
      </c>
      <c r="C102" t="s">
        <v>344</v>
      </c>
      <c r="D102" t="s">
        <v>345</v>
      </c>
      <c r="E102" t="s">
        <v>19</v>
      </c>
      <c r="F102" t="s">
        <v>62</v>
      </c>
      <c r="G102" t="s">
        <v>21</v>
      </c>
      <c r="H102" t="s">
        <v>63</v>
      </c>
      <c r="I102" t="s">
        <v>33</v>
      </c>
      <c r="J102">
        <v>7000</v>
      </c>
      <c r="K102">
        <v>5</v>
      </c>
      <c r="L102">
        <v>35000</v>
      </c>
      <c r="M102" t="s">
        <v>24</v>
      </c>
      <c r="N102">
        <v>4</v>
      </c>
      <c r="O102" t="s">
        <v>25</v>
      </c>
      <c r="P102" t="str">
        <f>TEXT(Hospitalitydata[[#This Row],[Booking_Date]],"mmm")</f>
        <v>Jun</v>
      </c>
    </row>
    <row r="103" spans="1:16" x14ac:dyDescent="0.3">
      <c r="A103" t="s">
        <v>346</v>
      </c>
      <c r="B103" t="s">
        <v>277</v>
      </c>
      <c r="C103" t="s">
        <v>347</v>
      </c>
      <c r="D103" t="s">
        <v>75</v>
      </c>
      <c r="E103" t="s">
        <v>127</v>
      </c>
      <c r="F103" t="s">
        <v>62</v>
      </c>
      <c r="G103" t="s">
        <v>44</v>
      </c>
      <c r="H103" t="s">
        <v>45</v>
      </c>
      <c r="I103" t="s">
        <v>33</v>
      </c>
      <c r="J103">
        <v>9000</v>
      </c>
      <c r="K103">
        <v>3</v>
      </c>
      <c r="L103">
        <v>27000</v>
      </c>
      <c r="M103" t="s">
        <v>24</v>
      </c>
      <c r="N103">
        <v>4</v>
      </c>
      <c r="O103" t="s">
        <v>25</v>
      </c>
      <c r="P103" t="str">
        <f>TEXT(Hospitalitydata[[#This Row],[Booking_Date]],"mmm")</f>
        <v>Jul</v>
      </c>
    </row>
    <row r="104" spans="1:16" x14ac:dyDescent="0.3">
      <c r="A104" t="s">
        <v>348</v>
      </c>
      <c r="B104" t="s">
        <v>146</v>
      </c>
      <c r="C104" t="s">
        <v>349</v>
      </c>
      <c r="D104" t="s">
        <v>350</v>
      </c>
      <c r="E104" t="s">
        <v>43</v>
      </c>
      <c r="F104" t="s">
        <v>31</v>
      </c>
      <c r="G104" t="s">
        <v>44</v>
      </c>
      <c r="H104" t="s">
        <v>45</v>
      </c>
      <c r="I104" t="s">
        <v>33</v>
      </c>
      <c r="J104">
        <v>2500</v>
      </c>
      <c r="K104">
        <v>3</v>
      </c>
      <c r="L104">
        <v>7500</v>
      </c>
      <c r="M104" t="s">
        <v>47</v>
      </c>
      <c r="N104">
        <v>4</v>
      </c>
      <c r="O104" t="s">
        <v>48</v>
      </c>
      <c r="P104" t="str">
        <f>TEXT(Hospitalitydata[[#This Row],[Booking_Date]],"mmm")</f>
        <v>Sep</v>
      </c>
    </row>
    <row r="105" spans="1:16" x14ac:dyDescent="0.3">
      <c r="A105" t="s">
        <v>351</v>
      </c>
      <c r="B105" t="s">
        <v>352</v>
      </c>
      <c r="C105" t="s">
        <v>274</v>
      </c>
      <c r="D105" t="s">
        <v>216</v>
      </c>
      <c r="E105" t="s">
        <v>37</v>
      </c>
      <c r="F105" t="s">
        <v>31</v>
      </c>
      <c r="G105" t="s">
        <v>21</v>
      </c>
      <c r="H105" t="s">
        <v>63</v>
      </c>
      <c r="I105" t="s">
        <v>23</v>
      </c>
      <c r="J105">
        <v>3500</v>
      </c>
      <c r="K105">
        <v>6</v>
      </c>
      <c r="L105">
        <v>21000</v>
      </c>
      <c r="M105" t="s">
        <v>24</v>
      </c>
      <c r="N105">
        <v>4</v>
      </c>
      <c r="O105" t="s">
        <v>25</v>
      </c>
      <c r="P105" t="str">
        <f>TEXT(Hospitalitydata[[#This Row],[Booking_Date]],"mmm")</f>
        <v>Jul</v>
      </c>
    </row>
    <row r="106" spans="1:16" x14ac:dyDescent="0.3">
      <c r="A106" t="s">
        <v>353</v>
      </c>
      <c r="B106" t="s">
        <v>324</v>
      </c>
      <c r="C106" t="s">
        <v>51</v>
      </c>
      <c r="D106" t="s">
        <v>354</v>
      </c>
      <c r="E106" t="s">
        <v>127</v>
      </c>
      <c r="F106" t="s">
        <v>31</v>
      </c>
      <c r="G106" t="s">
        <v>32</v>
      </c>
      <c r="H106" t="s">
        <v>22</v>
      </c>
      <c r="I106" t="s">
        <v>23</v>
      </c>
      <c r="J106">
        <v>7000</v>
      </c>
      <c r="K106">
        <v>6</v>
      </c>
      <c r="L106">
        <v>42000</v>
      </c>
      <c r="M106" t="s">
        <v>24</v>
      </c>
      <c r="N106">
        <v>4</v>
      </c>
      <c r="O106" t="s">
        <v>25</v>
      </c>
      <c r="P106" t="str">
        <f>TEXT(Hospitalitydata[[#This Row],[Booking_Date]],"mmm")</f>
        <v>Jun</v>
      </c>
    </row>
    <row r="107" spans="1:16" x14ac:dyDescent="0.3">
      <c r="A107" t="s">
        <v>355</v>
      </c>
      <c r="B107" t="s">
        <v>356</v>
      </c>
      <c r="C107" t="s">
        <v>170</v>
      </c>
      <c r="D107" t="s">
        <v>357</v>
      </c>
      <c r="E107" t="s">
        <v>127</v>
      </c>
      <c r="F107" t="s">
        <v>20</v>
      </c>
      <c r="G107" t="s">
        <v>21</v>
      </c>
      <c r="H107" t="s">
        <v>22</v>
      </c>
      <c r="I107" t="s">
        <v>23</v>
      </c>
      <c r="J107">
        <v>4500</v>
      </c>
      <c r="K107">
        <v>6</v>
      </c>
      <c r="L107">
        <v>27000</v>
      </c>
      <c r="M107" t="s">
        <v>47</v>
      </c>
      <c r="N107">
        <v>1</v>
      </c>
      <c r="O107" t="s">
        <v>48</v>
      </c>
      <c r="P107" t="str">
        <f>TEXT(Hospitalitydata[[#This Row],[Booking_Date]],"mmm")</f>
        <v>May</v>
      </c>
    </row>
    <row r="108" spans="1:16" x14ac:dyDescent="0.3">
      <c r="A108" t="s">
        <v>358</v>
      </c>
      <c r="B108" t="s">
        <v>359</v>
      </c>
      <c r="C108" t="s">
        <v>360</v>
      </c>
      <c r="D108" t="s">
        <v>361</v>
      </c>
      <c r="E108" t="s">
        <v>37</v>
      </c>
      <c r="F108" t="s">
        <v>20</v>
      </c>
      <c r="G108" t="s">
        <v>44</v>
      </c>
      <c r="H108" t="s">
        <v>63</v>
      </c>
      <c r="I108" t="s">
        <v>46</v>
      </c>
      <c r="J108">
        <v>4500</v>
      </c>
      <c r="K108">
        <v>6</v>
      </c>
      <c r="L108">
        <v>27000</v>
      </c>
      <c r="M108" t="s">
        <v>47</v>
      </c>
      <c r="N108">
        <v>1</v>
      </c>
      <c r="O108" t="s">
        <v>48</v>
      </c>
      <c r="P108" t="str">
        <f>TEXT(Hospitalitydata[[#This Row],[Booking_Date]],"mmm")</f>
        <v>Aug</v>
      </c>
    </row>
    <row r="109" spans="1:16" x14ac:dyDescent="0.3">
      <c r="A109" t="s">
        <v>362</v>
      </c>
      <c r="B109" t="s">
        <v>175</v>
      </c>
      <c r="C109" t="s">
        <v>176</v>
      </c>
      <c r="D109" t="s">
        <v>359</v>
      </c>
      <c r="E109" t="s">
        <v>19</v>
      </c>
      <c r="F109" t="s">
        <v>62</v>
      </c>
      <c r="G109" t="s">
        <v>32</v>
      </c>
      <c r="H109" t="s">
        <v>45</v>
      </c>
      <c r="I109" t="s">
        <v>38</v>
      </c>
      <c r="J109">
        <v>7000</v>
      </c>
      <c r="K109">
        <v>2</v>
      </c>
      <c r="L109">
        <v>14000</v>
      </c>
      <c r="M109" t="s">
        <v>24</v>
      </c>
      <c r="N109">
        <v>5</v>
      </c>
      <c r="O109" t="s">
        <v>25</v>
      </c>
      <c r="P109" t="str">
        <f>TEXT(Hospitalitydata[[#This Row],[Booking_Date]],"mmm")</f>
        <v>Aug</v>
      </c>
    </row>
    <row r="110" spans="1:16" x14ac:dyDescent="0.3">
      <c r="A110" t="s">
        <v>363</v>
      </c>
      <c r="B110" t="s">
        <v>29</v>
      </c>
      <c r="C110" t="s">
        <v>164</v>
      </c>
      <c r="D110" t="s">
        <v>56</v>
      </c>
      <c r="E110" t="s">
        <v>19</v>
      </c>
      <c r="F110" t="s">
        <v>53</v>
      </c>
      <c r="G110" t="s">
        <v>21</v>
      </c>
      <c r="H110" t="s">
        <v>63</v>
      </c>
      <c r="I110" t="s">
        <v>38</v>
      </c>
      <c r="J110">
        <v>5500</v>
      </c>
      <c r="K110">
        <v>2</v>
      </c>
      <c r="L110">
        <v>11000</v>
      </c>
      <c r="M110" t="s">
        <v>47</v>
      </c>
      <c r="N110">
        <v>2</v>
      </c>
      <c r="O110" t="s">
        <v>48</v>
      </c>
      <c r="P110" t="str">
        <f>TEXT(Hospitalitydata[[#This Row],[Booking_Date]],"mmm")</f>
        <v>Nov</v>
      </c>
    </row>
    <row r="111" spans="1:16" x14ac:dyDescent="0.3">
      <c r="A111" t="s">
        <v>364</v>
      </c>
      <c r="B111" t="s">
        <v>365</v>
      </c>
      <c r="C111" t="s">
        <v>240</v>
      </c>
      <c r="D111" t="s">
        <v>244</v>
      </c>
      <c r="E111" t="s">
        <v>43</v>
      </c>
      <c r="F111" t="s">
        <v>53</v>
      </c>
      <c r="G111" t="s">
        <v>44</v>
      </c>
      <c r="H111" t="s">
        <v>22</v>
      </c>
      <c r="I111" t="s">
        <v>46</v>
      </c>
      <c r="J111">
        <v>5500</v>
      </c>
      <c r="K111">
        <v>1</v>
      </c>
      <c r="L111">
        <v>5500</v>
      </c>
      <c r="M111" t="s">
        <v>47</v>
      </c>
      <c r="N111">
        <v>2</v>
      </c>
      <c r="O111" t="s">
        <v>48</v>
      </c>
      <c r="P111" t="str">
        <f>TEXT(Hospitalitydata[[#This Row],[Booking_Date]],"mmm")</f>
        <v>May</v>
      </c>
    </row>
    <row r="112" spans="1:16" x14ac:dyDescent="0.3">
      <c r="A112" t="s">
        <v>366</v>
      </c>
      <c r="B112" t="s">
        <v>16</v>
      </c>
      <c r="C112" t="s">
        <v>56</v>
      </c>
      <c r="D112" t="s">
        <v>192</v>
      </c>
      <c r="E112" t="s">
        <v>19</v>
      </c>
      <c r="F112" t="s">
        <v>53</v>
      </c>
      <c r="G112" t="s">
        <v>44</v>
      </c>
      <c r="H112" t="s">
        <v>45</v>
      </c>
      <c r="I112" t="s">
        <v>33</v>
      </c>
      <c r="J112">
        <v>4500</v>
      </c>
      <c r="K112">
        <v>6</v>
      </c>
      <c r="L112">
        <v>27000</v>
      </c>
      <c r="M112" t="s">
        <v>24</v>
      </c>
      <c r="N112">
        <v>4</v>
      </c>
      <c r="O112" t="s">
        <v>25</v>
      </c>
      <c r="P112" t="str">
        <f>TEXT(Hospitalitydata[[#This Row],[Booking_Date]],"mmm")</f>
        <v>Nov</v>
      </c>
    </row>
    <row r="113" spans="1:16" x14ac:dyDescent="0.3">
      <c r="A113" t="s">
        <v>367</v>
      </c>
      <c r="B113" t="s">
        <v>82</v>
      </c>
      <c r="C113" t="s">
        <v>74</v>
      </c>
      <c r="D113" t="s">
        <v>284</v>
      </c>
      <c r="E113" t="s">
        <v>37</v>
      </c>
      <c r="F113" t="s">
        <v>20</v>
      </c>
      <c r="G113" t="s">
        <v>21</v>
      </c>
      <c r="H113" t="s">
        <v>63</v>
      </c>
      <c r="I113" t="s">
        <v>46</v>
      </c>
      <c r="J113">
        <v>7000</v>
      </c>
      <c r="K113">
        <v>3</v>
      </c>
      <c r="L113">
        <v>21000</v>
      </c>
      <c r="M113" t="s">
        <v>24</v>
      </c>
      <c r="N113">
        <v>5</v>
      </c>
      <c r="O113" t="s">
        <v>25</v>
      </c>
      <c r="P113" t="str">
        <f>TEXT(Hospitalitydata[[#This Row],[Booking_Date]],"mmm")</f>
        <v>Jul</v>
      </c>
    </row>
    <row r="114" spans="1:16" x14ac:dyDescent="0.3">
      <c r="A114" t="s">
        <v>368</v>
      </c>
      <c r="B114" t="s">
        <v>369</v>
      </c>
      <c r="C114" t="s">
        <v>370</v>
      </c>
      <c r="D114" t="s">
        <v>311</v>
      </c>
      <c r="E114" t="s">
        <v>30</v>
      </c>
      <c r="F114" t="s">
        <v>53</v>
      </c>
      <c r="G114" t="s">
        <v>44</v>
      </c>
      <c r="H114" t="s">
        <v>45</v>
      </c>
      <c r="I114" t="s">
        <v>46</v>
      </c>
      <c r="J114">
        <v>9000</v>
      </c>
      <c r="K114">
        <v>7</v>
      </c>
      <c r="L114">
        <v>63000</v>
      </c>
      <c r="M114" t="s">
        <v>24</v>
      </c>
      <c r="N114">
        <v>3</v>
      </c>
      <c r="O114" t="s">
        <v>25</v>
      </c>
      <c r="P114" t="str">
        <f>TEXT(Hospitalitydata[[#This Row],[Booking_Date]],"mmm")</f>
        <v>Jan</v>
      </c>
    </row>
    <row r="115" spans="1:16" x14ac:dyDescent="0.3">
      <c r="A115" t="s">
        <v>371</v>
      </c>
      <c r="B115" t="s">
        <v>372</v>
      </c>
      <c r="C115" t="s">
        <v>247</v>
      </c>
      <c r="D115" t="s">
        <v>373</v>
      </c>
      <c r="E115" t="s">
        <v>19</v>
      </c>
      <c r="F115" t="s">
        <v>20</v>
      </c>
      <c r="G115" t="s">
        <v>21</v>
      </c>
      <c r="H115" t="s">
        <v>22</v>
      </c>
      <c r="I115" t="s">
        <v>23</v>
      </c>
      <c r="J115">
        <v>7000</v>
      </c>
      <c r="K115">
        <v>2</v>
      </c>
      <c r="L115">
        <v>14000</v>
      </c>
      <c r="M115" t="s">
        <v>24</v>
      </c>
      <c r="N115">
        <v>5</v>
      </c>
      <c r="O115" t="s">
        <v>25</v>
      </c>
      <c r="P115" t="str">
        <f>TEXT(Hospitalitydata[[#This Row],[Booking_Date]],"mmm")</f>
        <v>Apr</v>
      </c>
    </row>
    <row r="116" spans="1:16" x14ac:dyDescent="0.3">
      <c r="A116" t="s">
        <v>374</v>
      </c>
      <c r="B116" t="s">
        <v>281</v>
      </c>
      <c r="C116" t="s">
        <v>260</v>
      </c>
      <c r="D116" t="s">
        <v>168</v>
      </c>
      <c r="E116" t="s">
        <v>19</v>
      </c>
      <c r="F116" t="s">
        <v>20</v>
      </c>
      <c r="G116" t="s">
        <v>44</v>
      </c>
      <c r="H116" t="s">
        <v>63</v>
      </c>
      <c r="I116" t="s">
        <v>38</v>
      </c>
      <c r="J116">
        <v>2500</v>
      </c>
      <c r="K116">
        <v>4</v>
      </c>
      <c r="L116">
        <v>10000</v>
      </c>
      <c r="M116" t="s">
        <v>24</v>
      </c>
      <c r="N116">
        <v>5</v>
      </c>
      <c r="O116" t="s">
        <v>25</v>
      </c>
      <c r="P116" t="str">
        <f>TEXT(Hospitalitydata[[#This Row],[Booking_Date]],"mmm")</f>
        <v>Jun</v>
      </c>
    </row>
    <row r="117" spans="1:16" x14ac:dyDescent="0.3">
      <c r="A117" t="s">
        <v>375</v>
      </c>
      <c r="B117" t="s">
        <v>144</v>
      </c>
      <c r="C117" t="s">
        <v>376</v>
      </c>
      <c r="D117" t="s">
        <v>287</v>
      </c>
      <c r="E117" t="s">
        <v>30</v>
      </c>
      <c r="F117" t="s">
        <v>31</v>
      </c>
      <c r="G117" t="s">
        <v>44</v>
      </c>
      <c r="H117" t="s">
        <v>45</v>
      </c>
      <c r="I117" t="s">
        <v>46</v>
      </c>
      <c r="J117">
        <v>7000</v>
      </c>
      <c r="K117">
        <v>2</v>
      </c>
      <c r="L117">
        <v>14000</v>
      </c>
      <c r="M117" t="s">
        <v>47</v>
      </c>
      <c r="N117">
        <v>3</v>
      </c>
      <c r="O117" t="s">
        <v>48</v>
      </c>
      <c r="P117" t="str">
        <f>TEXT(Hospitalitydata[[#This Row],[Booking_Date]],"mmm")</f>
        <v>Mar</v>
      </c>
    </row>
    <row r="118" spans="1:16" x14ac:dyDescent="0.3">
      <c r="A118" t="s">
        <v>377</v>
      </c>
      <c r="B118" t="s">
        <v>285</v>
      </c>
      <c r="C118" t="s">
        <v>126</v>
      </c>
      <c r="D118" t="s">
        <v>378</v>
      </c>
      <c r="E118" t="s">
        <v>127</v>
      </c>
      <c r="F118" t="s">
        <v>20</v>
      </c>
      <c r="G118" t="s">
        <v>32</v>
      </c>
      <c r="H118" t="s">
        <v>45</v>
      </c>
      <c r="I118" t="s">
        <v>38</v>
      </c>
      <c r="J118">
        <v>9000</v>
      </c>
      <c r="K118">
        <v>3</v>
      </c>
      <c r="L118">
        <v>27000</v>
      </c>
      <c r="M118" t="s">
        <v>47</v>
      </c>
      <c r="N118">
        <v>1</v>
      </c>
      <c r="O118" t="s">
        <v>48</v>
      </c>
      <c r="P118" t="str">
        <f>TEXT(Hospitalitydata[[#This Row],[Booking_Date]],"mmm")</f>
        <v>Sep</v>
      </c>
    </row>
    <row r="119" spans="1:16" x14ac:dyDescent="0.3">
      <c r="A119" t="s">
        <v>379</v>
      </c>
      <c r="B119" t="s">
        <v>380</v>
      </c>
      <c r="C119" t="s">
        <v>319</v>
      </c>
      <c r="D119" t="s">
        <v>381</v>
      </c>
      <c r="E119" t="s">
        <v>43</v>
      </c>
      <c r="F119" t="s">
        <v>53</v>
      </c>
      <c r="G119" t="s">
        <v>44</v>
      </c>
      <c r="H119" t="s">
        <v>22</v>
      </c>
      <c r="I119" t="s">
        <v>46</v>
      </c>
      <c r="J119">
        <v>5500</v>
      </c>
      <c r="K119">
        <v>1</v>
      </c>
      <c r="L119">
        <v>5500</v>
      </c>
      <c r="M119" t="s">
        <v>24</v>
      </c>
      <c r="N119">
        <v>5</v>
      </c>
      <c r="O119" t="s">
        <v>25</v>
      </c>
      <c r="P119" t="str">
        <f>TEXT(Hospitalitydata[[#This Row],[Booking_Date]],"mmm")</f>
        <v>Oct</v>
      </c>
    </row>
    <row r="120" spans="1:16" x14ac:dyDescent="0.3">
      <c r="A120" t="s">
        <v>382</v>
      </c>
      <c r="B120" t="s">
        <v>383</v>
      </c>
      <c r="C120" t="s">
        <v>86</v>
      </c>
      <c r="D120" t="s">
        <v>317</v>
      </c>
      <c r="E120" t="s">
        <v>19</v>
      </c>
      <c r="F120" t="s">
        <v>53</v>
      </c>
      <c r="G120" t="s">
        <v>32</v>
      </c>
      <c r="H120" t="s">
        <v>22</v>
      </c>
      <c r="I120" t="s">
        <v>46</v>
      </c>
      <c r="J120">
        <v>9000</v>
      </c>
      <c r="K120">
        <v>7</v>
      </c>
      <c r="L120">
        <v>63000</v>
      </c>
      <c r="M120" t="s">
        <v>47</v>
      </c>
      <c r="N120">
        <v>1</v>
      </c>
      <c r="O120" t="s">
        <v>48</v>
      </c>
      <c r="P120" t="str">
        <f>TEXT(Hospitalitydata[[#This Row],[Booking_Date]],"mmm")</f>
        <v>Oct</v>
      </c>
    </row>
    <row r="121" spans="1:16" x14ac:dyDescent="0.3">
      <c r="A121" t="s">
        <v>384</v>
      </c>
      <c r="B121" t="s">
        <v>86</v>
      </c>
      <c r="C121" t="s">
        <v>309</v>
      </c>
      <c r="D121" t="s">
        <v>297</v>
      </c>
      <c r="E121" t="s">
        <v>37</v>
      </c>
      <c r="F121" t="s">
        <v>53</v>
      </c>
      <c r="G121" t="s">
        <v>32</v>
      </c>
      <c r="H121" t="s">
        <v>45</v>
      </c>
      <c r="I121" t="s">
        <v>23</v>
      </c>
      <c r="J121">
        <v>2500</v>
      </c>
      <c r="K121">
        <v>6</v>
      </c>
      <c r="L121">
        <v>15000</v>
      </c>
      <c r="M121" t="s">
        <v>24</v>
      </c>
      <c r="N121">
        <v>4</v>
      </c>
      <c r="O121" t="s">
        <v>25</v>
      </c>
      <c r="P121" t="str">
        <f>TEXT(Hospitalitydata[[#This Row],[Booking_Date]],"mmm")</f>
        <v>Nov</v>
      </c>
    </row>
    <row r="122" spans="1:16" x14ac:dyDescent="0.3">
      <c r="A122" t="s">
        <v>385</v>
      </c>
      <c r="B122" t="s">
        <v>386</v>
      </c>
      <c r="C122" t="s">
        <v>387</v>
      </c>
      <c r="D122" t="s">
        <v>388</v>
      </c>
      <c r="E122" t="s">
        <v>19</v>
      </c>
      <c r="F122" t="s">
        <v>53</v>
      </c>
      <c r="G122" t="s">
        <v>44</v>
      </c>
      <c r="H122" t="s">
        <v>63</v>
      </c>
      <c r="I122" t="s">
        <v>38</v>
      </c>
      <c r="J122">
        <v>2500</v>
      </c>
      <c r="K122">
        <v>4</v>
      </c>
      <c r="L122">
        <v>10000</v>
      </c>
      <c r="M122" t="s">
        <v>24</v>
      </c>
      <c r="N122">
        <v>5</v>
      </c>
      <c r="O122" t="s">
        <v>25</v>
      </c>
      <c r="P122" t="str">
        <f>TEXT(Hospitalitydata[[#This Row],[Booking_Date]],"mmm")</f>
        <v>Jan</v>
      </c>
    </row>
    <row r="123" spans="1:16" x14ac:dyDescent="0.3">
      <c r="A123" t="s">
        <v>389</v>
      </c>
      <c r="B123" t="s">
        <v>390</v>
      </c>
      <c r="C123" t="s">
        <v>391</v>
      </c>
      <c r="D123" t="s">
        <v>302</v>
      </c>
      <c r="E123" t="s">
        <v>127</v>
      </c>
      <c r="F123" t="s">
        <v>31</v>
      </c>
      <c r="G123" t="s">
        <v>44</v>
      </c>
      <c r="H123" t="s">
        <v>63</v>
      </c>
      <c r="I123" t="s">
        <v>23</v>
      </c>
      <c r="J123">
        <v>3500</v>
      </c>
      <c r="K123">
        <v>6</v>
      </c>
      <c r="L123">
        <v>21000</v>
      </c>
      <c r="M123" t="s">
        <v>47</v>
      </c>
      <c r="N123">
        <v>1</v>
      </c>
      <c r="O123" t="s">
        <v>48</v>
      </c>
      <c r="P123" t="str">
        <f>TEXT(Hospitalitydata[[#This Row],[Booking_Date]],"mmm")</f>
        <v>Oct</v>
      </c>
    </row>
    <row r="124" spans="1:16" x14ac:dyDescent="0.3">
      <c r="A124" t="s">
        <v>392</v>
      </c>
      <c r="B124" t="s">
        <v>393</v>
      </c>
      <c r="C124" t="s">
        <v>394</v>
      </c>
      <c r="D124" t="s">
        <v>395</v>
      </c>
      <c r="E124" t="s">
        <v>37</v>
      </c>
      <c r="F124" t="s">
        <v>20</v>
      </c>
      <c r="G124" t="s">
        <v>21</v>
      </c>
      <c r="H124" t="s">
        <v>63</v>
      </c>
      <c r="I124" t="s">
        <v>46</v>
      </c>
      <c r="J124">
        <v>5500</v>
      </c>
      <c r="K124">
        <v>2</v>
      </c>
      <c r="L124">
        <v>11000</v>
      </c>
      <c r="M124" t="s">
        <v>24</v>
      </c>
      <c r="N124">
        <v>3</v>
      </c>
      <c r="O124" t="s">
        <v>25</v>
      </c>
      <c r="P124" t="str">
        <f>TEXT(Hospitalitydata[[#This Row],[Booking_Date]],"mmm")</f>
        <v>Dec</v>
      </c>
    </row>
    <row r="125" spans="1:16" x14ac:dyDescent="0.3">
      <c r="A125" t="s">
        <v>396</v>
      </c>
      <c r="B125" t="s">
        <v>95</v>
      </c>
      <c r="C125" t="s">
        <v>397</v>
      </c>
      <c r="D125" t="s">
        <v>212</v>
      </c>
      <c r="E125" t="s">
        <v>43</v>
      </c>
      <c r="F125" t="s">
        <v>62</v>
      </c>
      <c r="G125" t="s">
        <v>21</v>
      </c>
      <c r="H125" t="s">
        <v>22</v>
      </c>
      <c r="I125" t="s">
        <v>23</v>
      </c>
      <c r="J125">
        <v>3500</v>
      </c>
      <c r="K125">
        <v>3</v>
      </c>
      <c r="L125">
        <v>10500</v>
      </c>
      <c r="M125" t="s">
        <v>47</v>
      </c>
      <c r="N125">
        <v>4</v>
      </c>
      <c r="O125" t="s">
        <v>48</v>
      </c>
      <c r="P125" t="str">
        <f>TEXT(Hospitalitydata[[#This Row],[Booking_Date]],"mmm")</f>
        <v>Feb</v>
      </c>
    </row>
    <row r="126" spans="1:16" x14ac:dyDescent="0.3">
      <c r="A126" t="s">
        <v>398</v>
      </c>
      <c r="B126" t="s">
        <v>94</v>
      </c>
      <c r="C126" t="s">
        <v>137</v>
      </c>
      <c r="D126" t="s">
        <v>399</v>
      </c>
      <c r="E126" t="s">
        <v>43</v>
      </c>
      <c r="F126" t="s">
        <v>31</v>
      </c>
      <c r="G126" t="s">
        <v>32</v>
      </c>
      <c r="H126" t="s">
        <v>22</v>
      </c>
      <c r="I126" t="s">
        <v>33</v>
      </c>
      <c r="J126">
        <v>3500</v>
      </c>
      <c r="K126">
        <v>3</v>
      </c>
      <c r="L126">
        <v>10500</v>
      </c>
      <c r="M126" t="s">
        <v>47</v>
      </c>
      <c r="N126">
        <v>2</v>
      </c>
      <c r="O126" t="s">
        <v>48</v>
      </c>
      <c r="P126" t="str">
        <f>TEXT(Hospitalitydata[[#This Row],[Booking_Date]],"mmm")</f>
        <v>Jan</v>
      </c>
    </row>
    <row r="127" spans="1:16" x14ac:dyDescent="0.3">
      <c r="A127" t="s">
        <v>400</v>
      </c>
      <c r="B127" t="s">
        <v>401</v>
      </c>
      <c r="C127" t="s">
        <v>365</v>
      </c>
      <c r="D127" t="s">
        <v>402</v>
      </c>
      <c r="E127" t="s">
        <v>43</v>
      </c>
      <c r="F127" t="s">
        <v>87</v>
      </c>
      <c r="G127" t="s">
        <v>32</v>
      </c>
      <c r="H127" t="s">
        <v>45</v>
      </c>
      <c r="I127" t="s">
        <v>46</v>
      </c>
      <c r="J127">
        <v>3500</v>
      </c>
      <c r="K127">
        <v>7</v>
      </c>
      <c r="L127">
        <v>24500</v>
      </c>
      <c r="M127" t="s">
        <v>24</v>
      </c>
      <c r="N127">
        <v>5</v>
      </c>
      <c r="O127" t="s">
        <v>25</v>
      </c>
      <c r="P127" t="str">
        <f>TEXT(Hospitalitydata[[#This Row],[Booking_Date]],"mmm")</f>
        <v>Apr</v>
      </c>
    </row>
    <row r="128" spans="1:16" x14ac:dyDescent="0.3">
      <c r="A128" t="s">
        <v>403</v>
      </c>
      <c r="B128" t="s">
        <v>144</v>
      </c>
      <c r="C128" t="s">
        <v>404</v>
      </c>
      <c r="D128" t="s">
        <v>405</v>
      </c>
      <c r="E128" t="s">
        <v>19</v>
      </c>
      <c r="F128" t="s">
        <v>31</v>
      </c>
      <c r="G128" t="s">
        <v>44</v>
      </c>
      <c r="H128" t="s">
        <v>45</v>
      </c>
      <c r="I128" t="s">
        <v>33</v>
      </c>
      <c r="J128">
        <v>2500</v>
      </c>
      <c r="K128">
        <v>6</v>
      </c>
      <c r="L128">
        <v>15000</v>
      </c>
      <c r="M128" t="s">
        <v>24</v>
      </c>
      <c r="N128">
        <v>4</v>
      </c>
      <c r="O128" t="s">
        <v>25</v>
      </c>
      <c r="P128" t="str">
        <f>TEXT(Hospitalitydata[[#This Row],[Booking_Date]],"mmm")</f>
        <v>Mar</v>
      </c>
    </row>
    <row r="129" spans="1:16" x14ac:dyDescent="0.3">
      <c r="A129" t="s">
        <v>406</v>
      </c>
      <c r="B129" t="s">
        <v>373</v>
      </c>
      <c r="C129" t="s">
        <v>402</v>
      </c>
      <c r="D129" t="s">
        <v>243</v>
      </c>
      <c r="E129" t="s">
        <v>43</v>
      </c>
      <c r="F129" t="s">
        <v>53</v>
      </c>
      <c r="G129" t="s">
        <v>44</v>
      </c>
      <c r="H129" t="s">
        <v>63</v>
      </c>
      <c r="I129" t="s">
        <v>23</v>
      </c>
      <c r="J129">
        <v>9000</v>
      </c>
      <c r="K129">
        <v>2</v>
      </c>
      <c r="L129">
        <v>18000</v>
      </c>
      <c r="M129" t="s">
        <v>24</v>
      </c>
      <c r="N129">
        <v>3</v>
      </c>
      <c r="O129" t="s">
        <v>25</v>
      </c>
      <c r="P129" t="str">
        <f>TEXT(Hospitalitydata[[#This Row],[Booking_Date]],"mmm")</f>
        <v>May</v>
      </c>
    </row>
    <row r="130" spans="1:16" x14ac:dyDescent="0.3">
      <c r="A130" t="s">
        <v>407</v>
      </c>
      <c r="B130" t="s">
        <v>408</v>
      </c>
      <c r="C130" t="s">
        <v>409</v>
      </c>
      <c r="D130" t="s">
        <v>410</v>
      </c>
      <c r="E130" t="s">
        <v>30</v>
      </c>
      <c r="F130" t="s">
        <v>87</v>
      </c>
      <c r="G130" t="s">
        <v>44</v>
      </c>
      <c r="H130" t="s">
        <v>22</v>
      </c>
      <c r="I130" t="s">
        <v>23</v>
      </c>
      <c r="J130">
        <v>7000</v>
      </c>
      <c r="K130">
        <v>2</v>
      </c>
      <c r="L130">
        <v>14000</v>
      </c>
      <c r="M130" t="s">
        <v>24</v>
      </c>
      <c r="N130">
        <v>5</v>
      </c>
      <c r="O130" t="s">
        <v>25</v>
      </c>
      <c r="P130" t="str">
        <f>TEXT(Hospitalitydata[[#This Row],[Booking_Date]],"mmm")</f>
        <v>Aug</v>
      </c>
    </row>
    <row r="131" spans="1:16" x14ac:dyDescent="0.3">
      <c r="A131" t="s">
        <v>411</v>
      </c>
      <c r="B131" t="s">
        <v>95</v>
      </c>
      <c r="C131" t="s">
        <v>212</v>
      </c>
      <c r="D131" t="s">
        <v>399</v>
      </c>
      <c r="E131" t="s">
        <v>127</v>
      </c>
      <c r="F131" t="s">
        <v>53</v>
      </c>
      <c r="G131" t="s">
        <v>32</v>
      </c>
      <c r="H131" t="s">
        <v>45</v>
      </c>
      <c r="I131" t="s">
        <v>46</v>
      </c>
      <c r="J131">
        <v>5500</v>
      </c>
      <c r="K131">
        <v>7</v>
      </c>
      <c r="L131">
        <v>38500</v>
      </c>
      <c r="M131" t="s">
        <v>24</v>
      </c>
      <c r="N131">
        <v>3</v>
      </c>
      <c r="O131" t="s">
        <v>25</v>
      </c>
      <c r="P131" t="str">
        <f>TEXT(Hospitalitydata[[#This Row],[Booking_Date]],"mmm")</f>
        <v>Feb</v>
      </c>
    </row>
    <row r="132" spans="1:16" x14ac:dyDescent="0.3">
      <c r="A132" t="s">
        <v>412</v>
      </c>
      <c r="B132" t="s">
        <v>413</v>
      </c>
      <c r="C132" t="s">
        <v>28</v>
      </c>
      <c r="D132" t="s">
        <v>29</v>
      </c>
      <c r="E132" t="s">
        <v>30</v>
      </c>
      <c r="F132" t="s">
        <v>31</v>
      </c>
      <c r="G132" t="s">
        <v>21</v>
      </c>
      <c r="H132" t="s">
        <v>63</v>
      </c>
      <c r="I132" t="s">
        <v>38</v>
      </c>
      <c r="J132">
        <v>3500</v>
      </c>
      <c r="K132">
        <v>1</v>
      </c>
      <c r="L132">
        <v>3500</v>
      </c>
      <c r="M132" t="s">
        <v>24</v>
      </c>
      <c r="N132">
        <v>5</v>
      </c>
      <c r="O132" t="s">
        <v>25</v>
      </c>
      <c r="P132" t="str">
        <f>TEXT(Hospitalitydata[[#This Row],[Booking_Date]],"mmm")</f>
        <v>Nov</v>
      </c>
    </row>
    <row r="133" spans="1:16" x14ac:dyDescent="0.3">
      <c r="A133" t="s">
        <v>414</v>
      </c>
      <c r="B133" t="s">
        <v>84</v>
      </c>
      <c r="C133" t="s">
        <v>300</v>
      </c>
      <c r="D133" t="s">
        <v>268</v>
      </c>
      <c r="E133" t="s">
        <v>43</v>
      </c>
      <c r="F133" t="s">
        <v>20</v>
      </c>
      <c r="G133" t="s">
        <v>21</v>
      </c>
      <c r="H133" t="s">
        <v>22</v>
      </c>
      <c r="I133" t="s">
        <v>33</v>
      </c>
      <c r="J133">
        <v>5500</v>
      </c>
      <c r="K133">
        <v>3</v>
      </c>
      <c r="L133">
        <v>16500</v>
      </c>
      <c r="M133" t="s">
        <v>24</v>
      </c>
      <c r="N133">
        <v>4</v>
      </c>
      <c r="O133" t="s">
        <v>25</v>
      </c>
      <c r="P133" t="str">
        <f>TEXT(Hospitalitydata[[#This Row],[Booking_Date]],"mmm")</f>
        <v>Nov</v>
      </c>
    </row>
    <row r="134" spans="1:16" x14ac:dyDescent="0.3">
      <c r="A134" t="s">
        <v>415</v>
      </c>
      <c r="B134" t="s">
        <v>175</v>
      </c>
      <c r="C134" t="s">
        <v>140</v>
      </c>
      <c r="D134" t="s">
        <v>274</v>
      </c>
      <c r="E134" t="s">
        <v>127</v>
      </c>
      <c r="F134" t="s">
        <v>53</v>
      </c>
      <c r="G134" t="s">
        <v>21</v>
      </c>
      <c r="H134" t="s">
        <v>45</v>
      </c>
      <c r="I134" t="s">
        <v>46</v>
      </c>
      <c r="J134">
        <v>5500</v>
      </c>
      <c r="K134">
        <v>2</v>
      </c>
      <c r="L134">
        <v>11000</v>
      </c>
      <c r="M134" t="s">
        <v>24</v>
      </c>
      <c r="N134">
        <v>4</v>
      </c>
      <c r="O134" t="s">
        <v>25</v>
      </c>
      <c r="P134" t="str">
        <f>TEXT(Hospitalitydata[[#This Row],[Booking_Date]],"mmm")</f>
        <v>Aug</v>
      </c>
    </row>
    <row r="135" spans="1:16" x14ac:dyDescent="0.3">
      <c r="A135" t="s">
        <v>416</v>
      </c>
      <c r="B135" t="s">
        <v>417</v>
      </c>
      <c r="C135" t="s">
        <v>418</v>
      </c>
      <c r="D135" t="s">
        <v>140</v>
      </c>
      <c r="E135" t="s">
        <v>127</v>
      </c>
      <c r="F135" t="s">
        <v>20</v>
      </c>
      <c r="G135" t="s">
        <v>32</v>
      </c>
      <c r="H135" t="s">
        <v>45</v>
      </c>
      <c r="I135" t="s">
        <v>23</v>
      </c>
      <c r="J135">
        <v>4500</v>
      </c>
      <c r="K135">
        <v>6</v>
      </c>
      <c r="L135">
        <v>27000</v>
      </c>
      <c r="M135" t="s">
        <v>24</v>
      </c>
      <c r="N135">
        <v>3</v>
      </c>
      <c r="O135" t="s">
        <v>25</v>
      </c>
      <c r="P135" t="str">
        <f>TEXT(Hospitalitydata[[#This Row],[Booking_Date]],"mmm")</f>
        <v>Aug</v>
      </c>
    </row>
    <row r="136" spans="1:16" x14ac:dyDescent="0.3">
      <c r="A136" t="s">
        <v>419</v>
      </c>
      <c r="B136" t="s">
        <v>420</v>
      </c>
      <c r="C136" t="s">
        <v>176</v>
      </c>
      <c r="D136" t="s">
        <v>408</v>
      </c>
      <c r="E136" t="s">
        <v>30</v>
      </c>
      <c r="F136" t="s">
        <v>20</v>
      </c>
      <c r="G136" t="s">
        <v>21</v>
      </c>
      <c r="H136" t="s">
        <v>22</v>
      </c>
      <c r="I136" t="s">
        <v>46</v>
      </c>
      <c r="J136">
        <v>9000</v>
      </c>
      <c r="K136">
        <v>6</v>
      </c>
      <c r="L136">
        <v>54000</v>
      </c>
      <c r="M136" t="s">
        <v>24</v>
      </c>
      <c r="N136">
        <v>3</v>
      </c>
      <c r="O136" t="s">
        <v>25</v>
      </c>
      <c r="P136" t="str">
        <f>TEXT(Hospitalitydata[[#This Row],[Booking_Date]],"mmm")</f>
        <v>Aug</v>
      </c>
    </row>
    <row r="137" spans="1:16" x14ac:dyDescent="0.3">
      <c r="A137" t="s">
        <v>421</v>
      </c>
      <c r="B137" t="s">
        <v>65</v>
      </c>
      <c r="C137" t="s">
        <v>192</v>
      </c>
      <c r="D137" t="s">
        <v>266</v>
      </c>
      <c r="E137" t="s">
        <v>43</v>
      </c>
      <c r="F137" t="s">
        <v>87</v>
      </c>
      <c r="G137" t="s">
        <v>21</v>
      </c>
      <c r="H137" t="s">
        <v>63</v>
      </c>
      <c r="I137" t="s">
        <v>46</v>
      </c>
      <c r="J137">
        <v>4500</v>
      </c>
      <c r="K137">
        <v>4</v>
      </c>
      <c r="L137">
        <v>18000</v>
      </c>
      <c r="M137" t="s">
        <v>47</v>
      </c>
      <c r="N137">
        <v>4</v>
      </c>
      <c r="O137" t="s">
        <v>48</v>
      </c>
      <c r="P137" t="str">
        <f>TEXT(Hospitalitydata[[#This Row],[Booking_Date]],"mmm")</f>
        <v>Dec</v>
      </c>
    </row>
    <row r="138" spans="1:16" x14ac:dyDescent="0.3">
      <c r="A138" t="s">
        <v>422</v>
      </c>
      <c r="B138" t="s">
        <v>423</v>
      </c>
      <c r="C138" t="s">
        <v>424</v>
      </c>
      <c r="D138" t="s">
        <v>425</v>
      </c>
      <c r="E138" t="s">
        <v>19</v>
      </c>
      <c r="F138" t="s">
        <v>20</v>
      </c>
      <c r="G138" t="s">
        <v>44</v>
      </c>
      <c r="H138" t="s">
        <v>22</v>
      </c>
      <c r="I138" t="s">
        <v>46</v>
      </c>
      <c r="J138">
        <v>3500</v>
      </c>
      <c r="K138">
        <v>5</v>
      </c>
      <c r="L138">
        <v>17500</v>
      </c>
      <c r="M138" t="s">
        <v>24</v>
      </c>
      <c r="N138">
        <v>4</v>
      </c>
      <c r="O138" t="s">
        <v>25</v>
      </c>
      <c r="P138" t="str">
        <f>TEXT(Hospitalitydata[[#This Row],[Booking_Date]],"mmm")</f>
        <v>Feb</v>
      </c>
    </row>
    <row r="139" spans="1:16" x14ac:dyDescent="0.3">
      <c r="A139" t="s">
        <v>426</v>
      </c>
      <c r="B139" t="s">
        <v>427</v>
      </c>
      <c r="C139" t="s">
        <v>428</v>
      </c>
      <c r="D139" t="s">
        <v>143</v>
      </c>
      <c r="E139" t="s">
        <v>30</v>
      </c>
      <c r="F139" t="s">
        <v>31</v>
      </c>
      <c r="G139" t="s">
        <v>21</v>
      </c>
      <c r="H139" t="s">
        <v>22</v>
      </c>
      <c r="I139" t="s">
        <v>23</v>
      </c>
      <c r="J139">
        <v>7000</v>
      </c>
      <c r="K139">
        <v>3</v>
      </c>
      <c r="L139">
        <v>21000</v>
      </c>
      <c r="M139" t="s">
        <v>24</v>
      </c>
      <c r="N139">
        <v>4</v>
      </c>
      <c r="O139" t="s">
        <v>25</v>
      </c>
      <c r="P139" t="str">
        <f>TEXT(Hospitalitydata[[#This Row],[Booking_Date]],"mmm")</f>
        <v>Feb</v>
      </c>
    </row>
    <row r="140" spans="1:16" x14ac:dyDescent="0.3">
      <c r="A140" t="s">
        <v>429</v>
      </c>
      <c r="B140" t="s">
        <v>413</v>
      </c>
      <c r="C140" t="s">
        <v>56</v>
      </c>
      <c r="D140" t="s">
        <v>192</v>
      </c>
      <c r="E140" t="s">
        <v>37</v>
      </c>
      <c r="F140" t="s">
        <v>87</v>
      </c>
      <c r="G140" t="s">
        <v>44</v>
      </c>
      <c r="H140" t="s">
        <v>63</v>
      </c>
      <c r="I140" t="s">
        <v>23</v>
      </c>
      <c r="J140">
        <v>9000</v>
      </c>
      <c r="K140">
        <v>6</v>
      </c>
      <c r="L140">
        <v>54000</v>
      </c>
      <c r="M140" t="s">
        <v>24</v>
      </c>
      <c r="N140">
        <v>3</v>
      </c>
      <c r="O140" t="s">
        <v>25</v>
      </c>
      <c r="P140" t="str">
        <f>TEXT(Hospitalitydata[[#This Row],[Booking_Date]],"mmm")</f>
        <v>Nov</v>
      </c>
    </row>
    <row r="141" spans="1:16" x14ac:dyDescent="0.3">
      <c r="A141" t="s">
        <v>430</v>
      </c>
      <c r="B141" t="s">
        <v>431</v>
      </c>
      <c r="C141" t="s">
        <v>356</v>
      </c>
      <c r="D141" t="s">
        <v>432</v>
      </c>
      <c r="E141" t="s">
        <v>19</v>
      </c>
      <c r="F141" t="s">
        <v>20</v>
      </c>
      <c r="G141" t="s">
        <v>32</v>
      </c>
      <c r="H141" t="s">
        <v>22</v>
      </c>
      <c r="I141" t="s">
        <v>33</v>
      </c>
      <c r="J141">
        <v>7000</v>
      </c>
      <c r="K141">
        <v>2</v>
      </c>
      <c r="L141">
        <v>14000</v>
      </c>
      <c r="M141" t="s">
        <v>24</v>
      </c>
      <c r="N141">
        <v>3</v>
      </c>
      <c r="O141" t="s">
        <v>25</v>
      </c>
      <c r="P141" t="str">
        <f>TEXT(Hospitalitydata[[#This Row],[Booking_Date]],"mmm")</f>
        <v>Apr</v>
      </c>
    </row>
    <row r="142" spans="1:16" x14ac:dyDescent="0.3">
      <c r="A142" t="s">
        <v>433</v>
      </c>
      <c r="B142" t="s">
        <v>345</v>
      </c>
      <c r="C142" t="s">
        <v>180</v>
      </c>
      <c r="D142" t="s">
        <v>277</v>
      </c>
      <c r="E142" t="s">
        <v>37</v>
      </c>
      <c r="F142" t="s">
        <v>31</v>
      </c>
      <c r="G142" t="s">
        <v>21</v>
      </c>
      <c r="H142" t="s">
        <v>45</v>
      </c>
      <c r="I142" t="s">
        <v>23</v>
      </c>
      <c r="J142">
        <v>4500</v>
      </c>
      <c r="K142">
        <v>4</v>
      </c>
      <c r="L142">
        <v>18000</v>
      </c>
      <c r="M142" t="s">
        <v>24</v>
      </c>
      <c r="N142">
        <v>4</v>
      </c>
      <c r="O142" t="s">
        <v>25</v>
      </c>
      <c r="P142" t="str">
        <f>TEXT(Hospitalitydata[[#This Row],[Booking_Date]],"mmm")</f>
        <v>Jul</v>
      </c>
    </row>
    <row r="143" spans="1:16" x14ac:dyDescent="0.3">
      <c r="A143" t="s">
        <v>434</v>
      </c>
      <c r="B143" t="s">
        <v>142</v>
      </c>
      <c r="C143" t="s">
        <v>435</v>
      </c>
      <c r="D143" t="s">
        <v>431</v>
      </c>
      <c r="E143" t="s">
        <v>37</v>
      </c>
      <c r="F143" t="s">
        <v>53</v>
      </c>
      <c r="G143" t="s">
        <v>21</v>
      </c>
      <c r="H143" t="s">
        <v>63</v>
      </c>
      <c r="I143" t="s">
        <v>38</v>
      </c>
      <c r="J143">
        <v>7000</v>
      </c>
      <c r="K143">
        <v>7</v>
      </c>
      <c r="L143">
        <v>49000</v>
      </c>
      <c r="M143" t="s">
        <v>24</v>
      </c>
      <c r="N143">
        <v>3</v>
      </c>
      <c r="O143" t="s">
        <v>25</v>
      </c>
      <c r="P143" t="str">
        <f>TEXT(Hospitalitydata[[#This Row],[Booking_Date]],"mmm")</f>
        <v>Mar</v>
      </c>
    </row>
    <row r="144" spans="1:16" x14ac:dyDescent="0.3">
      <c r="A144" t="s">
        <v>436</v>
      </c>
      <c r="B144" t="s">
        <v>118</v>
      </c>
      <c r="C144" t="s">
        <v>268</v>
      </c>
      <c r="D144" t="s">
        <v>437</v>
      </c>
      <c r="E144" t="s">
        <v>43</v>
      </c>
      <c r="F144" t="s">
        <v>87</v>
      </c>
      <c r="G144" t="s">
        <v>44</v>
      </c>
      <c r="H144" t="s">
        <v>45</v>
      </c>
      <c r="I144" t="s">
        <v>46</v>
      </c>
      <c r="J144">
        <v>4500</v>
      </c>
      <c r="K144">
        <v>4</v>
      </c>
      <c r="L144">
        <v>18000</v>
      </c>
      <c r="M144" t="s">
        <v>24</v>
      </c>
      <c r="N144">
        <v>5</v>
      </c>
      <c r="O144" t="s">
        <v>25</v>
      </c>
      <c r="P144" t="str">
        <f>TEXT(Hospitalitydata[[#This Row],[Booking_Date]],"mmm")</f>
        <v>Nov</v>
      </c>
    </row>
    <row r="145" spans="1:16" x14ac:dyDescent="0.3">
      <c r="A145" t="s">
        <v>438</v>
      </c>
      <c r="B145" t="s">
        <v>192</v>
      </c>
      <c r="C145" t="s">
        <v>439</v>
      </c>
      <c r="D145" t="s">
        <v>193</v>
      </c>
      <c r="E145" t="s">
        <v>43</v>
      </c>
      <c r="F145" t="s">
        <v>62</v>
      </c>
      <c r="G145" t="s">
        <v>44</v>
      </c>
      <c r="H145" t="s">
        <v>22</v>
      </c>
      <c r="I145" t="s">
        <v>23</v>
      </c>
      <c r="J145">
        <v>5500</v>
      </c>
      <c r="K145">
        <v>5</v>
      </c>
      <c r="L145">
        <v>27500</v>
      </c>
      <c r="M145" t="s">
        <v>24</v>
      </c>
      <c r="N145">
        <v>4</v>
      </c>
      <c r="O145" t="s">
        <v>25</v>
      </c>
      <c r="P145" t="str">
        <f>TEXT(Hospitalitydata[[#This Row],[Booking_Date]],"mmm")</f>
        <v>Dec</v>
      </c>
    </row>
    <row r="146" spans="1:16" x14ac:dyDescent="0.3">
      <c r="A146" t="s">
        <v>440</v>
      </c>
      <c r="B146" t="s">
        <v>441</v>
      </c>
      <c r="C146" t="s">
        <v>442</v>
      </c>
      <c r="D146" t="s">
        <v>443</v>
      </c>
      <c r="E146" t="s">
        <v>37</v>
      </c>
      <c r="F146" t="s">
        <v>87</v>
      </c>
      <c r="G146" t="s">
        <v>32</v>
      </c>
      <c r="H146" t="s">
        <v>45</v>
      </c>
      <c r="I146" t="s">
        <v>38</v>
      </c>
      <c r="J146">
        <v>3500</v>
      </c>
      <c r="K146">
        <v>3</v>
      </c>
      <c r="L146">
        <v>10500</v>
      </c>
      <c r="M146" t="s">
        <v>24</v>
      </c>
      <c r="N146">
        <v>4</v>
      </c>
      <c r="O146" t="s">
        <v>25</v>
      </c>
      <c r="P146" t="str">
        <f>TEXT(Hospitalitydata[[#This Row],[Booking_Date]],"mmm")</f>
        <v>Jan</v>
      </c>
    </row>
    <row r="147" spans="1:16" x14ac:dyDescent="0.3">
      <c r="A147" t="s">
        <v>444</v>
      </c>
      <c r="B147" t="s">
        <v>175</v>
      </c>
      <c r="C147" t="s">
        <v>177</v>
      </c>
      <c r="D147" t="s">
        <v>445</v>
      </c>
      <c r="E147" t="s">
        <v>30</v>
      </c>
      <c r="F147" t="s">
        <v>31</v>
      </c>
      <c r="G147" t="s">
        <v>21</v>
      </c>
      <c r="H147" t="s">
        <v>63</v>
      </c>
      <c r="I147" t="s">
        <v>23</v>
      </c>
      <c r="J147">
        <v>5500</v>
      </c>
      <c r="K147">
        <v>2</v>
      </c>
      <c r="L147">
        <v>11000</v>
      </c>
      <c r="M147" t="s">
        <v>24</v>
      </c>
      <c r="N147">
        <v>3</v>
      </c>
      <c r="O147" t="s">
        <v>25</v>
      </c>
      <c r="P147" t="str">
        <f>TEXT(Hospitalitydata[[#This Row],[Booking_Date]],"mmm")</f>
        <v>Aug</v>
      </c>
    </row>
    <row r="148" spans="1:16" x14ac:dyDescent="0.3">
      <c r="A148" t="s">
        <v>446</v>
      </c>
      <c r="B148" t="s">
        <v>338</v>
      </c>
      <c r="C148" t="s">
        <v>408</v>
      </c>
      <c r="D148" t="s">
        <v>274</v>
      </c>
      <c r="E148" t="s">
        <v>43</v>
      </c>
      <c r="F148" t="s">
        <v>87</v>
      </c>
      <c r="G148" t="s">
        <v>21</v>
      </c>
      <c r="H148" t="s">
        <v>63</v>
      </c>
      <c r="I148" t="s">
        <v>38</v>
      </c>
      <c r="J148">
        <v>2500</v>
      </c>
      <c r="K148">
        <v>6</v>
      </c>
      <c r="L148">
        <v>15000</v>
      </c>
      <c r="M148" t="s">
        <v>24</v>
      </c>
      <c r="N148">
        <v>4</v>
      </c>
      <c r="O148" t="s">
        <v>25</v>
      </c>
      <c r="P148" t="str">
        <f>TEXT(Hospitalitydata[[#This Row],[Booking_Date]],"mmm")</f>
        <v>Jul</v>
      </c>
    </row>
    <row r="149" spans="1:16" x14ac:dyDescent="0.3">
      <c r="A149" t="s">
        <v>447</v>
      </c>
      <c r="B149" t="s">
        <v>448</v>
      </c>
      <c r="C149" t="s">
        <v>449</v>
      </c>
      <c r="D149" t="s">
        <v>450</v>
      </c>
      <c r="E149" t="s">
        <v>37</v>
      </c>
      <c r="F149" t="s">
        <v>62</v>
      </c>
      <c r="G149" t="s">
        <v>21</v>
      </c>
      <c r="H149" t="s">
        <v>63</v>
      </c>
      <c r="I149" t="s">
        <v>46</v>
      </c>
      <c r="J149">
        <v>4500</v>
      </c>
      <c r="K149">
        <v>4</v>
      </c>
      <c r="L149">
        <v>18000</v>
      </c>
      <c r="M149" t="s">
        <v>24</v>
      </c>
      <c r="N149">
        <v>3</v>
      </c>
      <c r="O149" t="s">
        <v>25</v>
      </c>
      <c r="P149" t="str">
        <f>TEXT(Hospitalitydata[[#This Row],[Booking_Date]],"mmm")</f>
        <v>Dec</v>
      </c>
    </row>
    <row r="150" spans="1:16" x14ac:dyDescent="0.3">
      <c r="A150" t="s">
        <v>451</v>
      </c>
      <c r="B150" t="s">
        <v>222</v>
      </c>
      <c r="C150" t="s">
        <v>452</v>
      </c>
      <c r="D150" t="s">
        <v>453</v>
      </c>
      <c r="E150" t="s">
        <v>127</v>
      </c>
      <c r="F150" t="s">
        <v>31</v>
      </c>
      <c r="G150" t="s">
        <v>32</v>
      </c>
      <c r="H150" t="s">
        <v>63</v>
      </c>
      <c r="I150" t="s">
        <v>46</v>
      </c>
      <c r="J150">
        <v>2500</v>
      </c>
      <c r="K150">
        <v>7</v>
      </c>
      <c r="L150">
        <v>17500</v>
      </c>
      <c r="M150" t="s">
        <v>24</v>
      </c>
      <c r="N150">
        <v>5</v>
      </c>
      <c r="O150" t="s">
        <v>25</v>
      </c>
      <c r="P150" t="str">
        <f>TEXT(Hospitalitydata[[#This Row],[Booking_Date]],"mmm")</f>
        <v>Feb</v>
      </c>
    </row>
    <row r="151" spans="1:16" x14ac:dyDescent="0.3">
      <c r="A151" t="s">
        <v>454</v>
      </c>
      <c r="B151" t="s">
        <v>455</v>
      </c>
      <c r="C151" t="s">
        <v>179</v>
      </c>
      <c r="D151" t="s">
        <v>260</v>
      </c>
      <c r="E151" t="s">
        <v>43</v>
      </c>
      <c r="F151" t="s">
        <v>31</v>
      </c>
      <c r="G151" t="s">
        <v>21</v>
      </c>
      <c r="H151" t="s">
        <v>45</v>
      </c>
      <c r="I151" t="s">
        <v>46</v>
      </c>
      <c r="J151">
        <v>3500</v>
      </c>
      <c r="K151">
        <v>3</v>
      </c>
      <c r="L151">
        <v>10500</v>
      </c>
      <c r="M151" t="s">
        <v>24</v>
      </c>
      <c r="N151">
        <v>5</v>
      </c>
      <c r="O151" t="s">
        <v>25</v>
      </c>
      <c r="P151" t="str">
        <f>TEXT(Hospitalitydata[[#This Row],[Booking_Date]],"mmm")</f>
        <v>Jun</v>
      </c>
    </row>
    <row r="152" spans="1:16" x14ac:dyDescent="0.3">
      <c r="A152" t="s">
        <v>456</v>
      </c>
      <c r="B152" t="s">
        <v>457</v>
      </c>
      <c r="C152" t="s">
        <v>338</v>
      </c>
      <c r="D152" t="s">
        <v>277</v>
      </c>
      <c r="E152" t="s">
        <v>43</v>
      </c>
      <c r="F152" t="s">
        <v>62</v>
      </c>
      <c r="G152" t="s">
        <v>44</v>
      </c>
      <c r="H152" t="s">
        <v>45</v>
      </c>
      <c r="I152" t="s">
        <v>33</v>
      </c>
      <c r="J152">
        <v>9000</v>
      </c>
      <c r="K152">
        <v>7</v>
      </c>
      <c r="L152">
        <v>63000</v>
      </c>
      <c r="M152" t="s">
        <v>24</v>
      </c>
      <c r="N152">
        <v>3</v>
      </c>
      <c r="O152" t="s">
        <v>25</v>
      </c>
      <c r="P152" t="str">
        <f>TEXT(Hospitalitydata[[#This Row],[Booking_Date]],"mmm")</f>
        <v>Jun</v>
      </c>
    </row>
    <row r="153" spans="1:16" x14ac:dyDescent="0.3">
      <c r="A153" t="s">
        <v>458</v>
      </c>
      <c r="B153" t="s">
        <v>85</v>
      </c>
      <c r="C153" t="s">
        <v>224</v>
      </c>
      <c r="D153" t="s">
        <v>309</v>
      </c>
      <c r="E153" t="s">
        <v>127</v>
      </c>
      <c r="F153" t="s">
        <v>53</v>
      </c>
      <c r="G153" t="s">
        <v>21</v>
      </c>
      <c r="H153" t="s">
        <v>22</v>
      </c>
      <c r="I153" t="s">
        <v>38</v>
      </c>
      <c r="J153">
        <v>9000</v>
      </c>
      <c r="K153">
        <v>7</v>
      </c>
      <c r="L153">
        <v>63000</v>
      </c>
      <c r="M153" t="s">
        <v>24</v>
      </c>
      <c r="N153">
        <v>5</v>
      </c>
      <c r="O153" t="s">
        <v>25</v>
      </c>
      <c r="P153" t="str">
        <f>TEXT(Hospitalitydata[[#This Row],[Booking_Date]],"mmm")</f>
        <v>Nov</v>
      </c>
    </row>
    <row r="154" spans="1:16" x14ac:dyDescent="0.3">
      <c r="A154" t="s">
        <v>459</v>
      </c>
      <c r="B154" t="s">
        <v>57</v>
      </c>
      <c r="C154" t="s">
        <v>90</v>
      </c>
      <c r="D154" t="s">
        <v>91</v>
      </c>
      <c r="E154" t="s">
        <v>37</v>
      </c>
      <c r="F154" t="s">
        <v>87</v>
      </c>
      <c r="G154" t="s">
        <v>32</v>
      </c>
      <c r="H154" t="s">
        <v>63</v>
      </c>
      <c r="I154" t="s">
        <v>23</v>
      </c>
      <c r="J154">
        <v>9000</v>
      </c>
      <c r="K154">
        <v>5</v>
      </c>
      <c r="L154">
        <v>45000</v>
      </c>
      <c r="M154" t="s">
        <v>24</v>
      </c>
      <c r="N154">
        <v>5</v>
      </c>
      <c r="O154" t="s">
        <v>25</v>
      </c>
      <c r="P154" t="str">
        <f>TEXT(Hospitalitydata[[#This Row],[Booking_Date]],"mmm")</f>
        <v>Dec</v>
      </c>
    </row>
    <row r="155" spans="1:16" x14ac:dyDescent="0.3">
      <c r="A155" t="s">
        <v>460</v>
      </c>
      <c r="B155" t="s">
        <v>250</v>
      </c>
      <c r="C155" t="s">
        <v>461</v>
      </c>
      <c r="D155" t="s">
        <v>256</v>
      </c>
      <c r="E155" t="s">
        <v>43</v>
      </c>
      <c r="F155" t="s">
        <v>87</v>
      </c>
      <c r="G155" t="s">
        <v>21</v>
      </c>
      <c r="H155" t="s">
        <v>45</v>
      </c>
      <c r="I155" t="s">
        <v>46</v>
      </c>
      <c r="J155">
        <v>4500</v>
      </c>
      <c r="K155">
        <v>6</v>
      </c>
      <c r="L155">
        <v>27000</v>
      </c>
      <c r="M155" t="s">
        <v>24</v>
      </c>
      <c r="N155">
        <v>5</v>
      </c>
      <c r="O155" t="s">
        <v>25</v>
      </c>
      <c r="P155" t="str">
        <f>TEXT(Hospitalitydata[[#This Row],[Booking_Date]],"mmm")</f>
        <v>Aug</v>
      </c>
    </row>
    <row r="156" spans="1:16" x14ac:dyDescent="0.3">
      <c r="A156" t="s">
        <v>462</v>
      </c>
      <c r="B156" t="s">
        <v>69</v>
      </c>
      <c r="C156" t="s">
        <v>161</v>
      </c>
      <c r="D156" t="s">
        <v>71</v>
      </c>
      <c r="E156" t="s">
        <v>43</v>
      </c>
      <c r="F156" t="s">
        <v>20</v>
      </c>
      <c r="G156" t="s">
        <v>21</v>
      </c>
      <c r="H156" t="s">
        <v>22</v>
      </c>
      <c r="I156" t="s">
        <v>38</v>
      </c>
      <c r="J156">
        <v>2500</v>
      </c>
      <c r="K156">
        <v>1</v>
      </c>
      <c r="L156">
        <v>2500</v>
      </c>
      <c r="M156" t="s">
        <v>24</v>
      </c>
      <c r="N156">
        <v>4</v>
      </c>
      <c r="O156" t="s">
        <v>25</v>
      </c>
      <c r="P156" t="str">
        <f>TEXT(Hospitalitydata[[#This Row],[Booking_Date]],"mmm")</f>
        <v>Aug</v>
      </c>
    </row>
    <row r="157" spans="1:16" x14ac:dyDescent="0.3">
      <c r="A157" t="s">
        <v>463</v>
      </c>
      <c r="B157" t="s">
        <v>69</v>
      </c>
      <c r="C157" t="s">
        <v>461</v>
      </c>
      <c r="D157" t="s">
        <v>464</v>
      </c>
      <c r="E157" t="s">
        <v>30</v>
      </c>
      <c r="F157" t="s">
        <v>62</v>
      </c>
      <c r="G157" t="s">
        <v>44</v>
      </c>
      <c r="H157" t="s">
        <v>22</v>
      </c>
      <c r="I157" t="s">
        <v>38</v>
      </c>
      <c r="J157">
        <v>9000</v>
      </c>
      <c r="K157">
        <v>5</v>
      </c>
      <c r="L157">
        <v>45000</v>
      </c>
      <c r="M157" t="s">
        <v>47</v>
      </c>
      <c r="N157">
        <v>4</v>
      </c>
      <c r="O157" t="s">
        <v>48</v>
      </c>
      <c r="P157" t="str">
        <f>TEXT(Hospitalitydata[[#This Row],[Booking_Date]],"mmm")</f>
        <v>Aug</v>
      </c>
    </row>
    <row r="158" spans="1:16" x14ac:dyDescent="0.3">
      <c r="A158" t="s">
        <v>465</v>
      </c>
      <c r="B158" t="s">
        <v>162</v>
      </c>
      <c r="C158" t="s">
        <v>256</v>
      </c>
      <c r="D158" t="s">
        <v>466</v>
      </c>
      <c r="E158" t="s">
        <v>43</v>
      </c>
      <c r="F158" t="s">
        <v>31</v>
      </c>
      <c r="G158" t="s">
        <v>21</v>
      </c>
      <c r="H158" t="s">
        <v>45</v>
      </c>
      <c r="I158" t="s">
        <v>23</v>
      </c>
      <c r="J158">
        <v>5500</v>
      </c>
      <c r="K158">
        <v>1</v>
      </c>
      <c r="L158">
        <v>5500</v>
      </c>
      <c r="M158" t="s">
        <v>24</v>
      </c>
      <c r="N158">
        <v>4</v>
      </c>
      <c r="O158" t="s">
        <v>25</v>
      </c>
      <c r="P158" t="str">
        <f>TEXT(Hospitalitydata[[#This Row],[Booking_Date]],"mmm")</f>
        <v>Sep</v>
      </c>
    </row>
    <row r="159" spans="1:16" x14ac:dyDescent="0.3">
      <c r="A159" t="s">
        <v>467</v>
      </c>
      <c r="B159" t="s">
        <v>253</v>
      </c>
      <c r="C159" t="s">
        <v>248</v>
      </c>
      <c r="D159" t="s">
        <v>244</v>
      </c>
      <c r="E159" t="s">
        <v>19</v>
      </c>
      <c r="F159" t="s">
        <v>87</v>
      </c>
      <c r="G159" t="s">
        <v>44</v>
      </c>
      <c r="H159" t="s">
        <v>63</v>
      </c>
      <c r="I159" t="s">
        <v>38</v>
      </c>
      <c r="J159">
        <v>5500</v>
      </c>
      <c r="K159">
        <v>4</v>
      </c>
      <c r="L159">
        <v>22000</v>
      </c>
      <c r="M159" t="s">
        <v>24</v>
      </c>
      <c r="N159">
        <v>5</v>
      </c>
      <c r="O159" t="s">
        <v>25</v>
      </c>
      <c r="P159" t="str">
        <f>TEXT(Hospitalitydata[[#This Row],[Booking_Date]],"mmm")</f>
        <v>May</v>
      </c>
    </row>
    <row r="160" spans="1:16" x14ac:dyDescent="0.3">
      <c r="A160" t="s">
        <v>468</v>
      </c>
      <c r="B160" t="s">
        <v>352</v>
      </c>
      <c r="C160" t="s">
        <v>139</v>
      </c>
      <c r="D160" t="s">
        <v>274</v>
      </c>
      <c r="E160" t="s">
        <v>37</v>
      </c>
      <c r="F160" t="s">
        <v>20</v>
      </c>
      <c r="G160" t="s">
        <v>44</v>
      </c>
      <c r="H160" t="s">
        <v>45</v>
      </c>
      <c r="I160" t="s">
        <v>38</v>
      </c>
      <c r="J160">
        <v>9000</v>
      </c>
      <c r="K160">
        <v>3</v>
      </c>
      <c r="L160">
        <v>27000</v>
      </c>
      <c r="M160" t="s">
        <v>24</v>
      </c>
      <c r="N160">
        <v>5</v>
      </c>
      <c r="O160" t="s">
        <v>25</v>
      </c>
      <c r="P160" t="str">
        <f>TEXT(Hospitalitydata[[#This Row],[Booking_Date]],"mmm")</f>
        <v>Jul</v>
      </c>
    </row>
    <row r="161" spans="1:16" x14ac:dyDescent="0.3">
      <c r="A161" t="s">
        <v>469</v>
      </c>
      <c r="B161" t="s">
        <v>470</v>
      </c>
      <c r="C161" t="s">
        <v>233</v>
      </c>
      <c r="D161" t="s">
        <v>471</v>
      </c>
      <c r="E161" t="s">
        <v>37</v>
      </c>
      <c r="F161" t="s">
        <v>20</v>
      </c>
      <c r="G161" t="s">
        <v>21</v>
      </c>
      <c r="H161" t="s">
        <v>22</v>
      </c>
      <c r="I161" t="s">
        <v>33</v>
      </c>
      <c r="J161">
        <v>9000</v>
      </c>
      <c r="K161">
        <v>6</v>
      </c>
      <c r="L161">
        <v>54000</v>
      </c>
      <c r="M161" t="s">
        <v>47</v>
      </c>
      <c r="N161">
        <v>2</v>
      </c>
      <c r="O161" t="s">
        <v>48</v>
      </c>
      <c r="P161" t="str">
        <f>TEXT(Hospitalitydata[[#This Row],[Booking_Date]],"mmm")</f>
        <v>May</v>
      </c>
    </row>
    <row r="162" spans="1:16" x14ac:dyDescent="0.3">
      <c r="A162" t="s">
        <v>472</v>
      </c>
      <c r="B162" t="s">
        <v>457</v>
      </c>
      <c r="C162" t="s">
        <v>473</v>
      </c>
      <c r="D162" t="s">
        <v>82</v>
      </c>
      <c r="E162" t="s">
        <v>30</v>
      </c>
      <c r="F162" t="s">
        <v>20</v>
      </c>
      <c r="G162" t="s">
        <v>44</v>
      </c>
      <c r="H162" t="s">
        <v>22</v>
      </c>
      <c r="I162" t="s">
        <v>38</v>
      </c>
      <c r="J162">
        <v>9000</v>
      </c>
      <c r="K162">
        <v>6</v>
      </c>
      <c r="L162">
        <v>54000</v>
      </c>
      <c r="M162" t="s">
        <v>24</v>
      </c>
      <c r="N162">
        <v>3</v>
      </c>
      <c r="O162" t="s">
        <v>25</v>
      </c>
      <c r="P162" t="str">
        <f>TEXT(Hospitalitydata[[#This Row],[Booking_Date]],"mmm")</f>
        <v>Jun</v>
      </c>
    </row>
    <row r="163" spans="1:16" x14ac:dyDescent="0.3">
      <c r="A163" t="s">
        <v>474</v>
      </c>
      <c r="B163" t="s">
        <v>437</v>
      </c>
      <c r="C163" t="s">
        <v>35</v>
      </c>
      <c r="D163" t="s">
        <v>67</v>
      </c>
      <c r="E163" t="s">
        <v>30</v>
      </c>
      <c r="F163" t="s">
        <v>20</v>
      </c>
      <c r="G163" t="s">
        <v>21</v>
      </c>
      <c r="H163" t="s">
        <v>22</v>
      </c>
      <c r="I163" t="s">
        <v>38</v>
      </c>
      <c r="J163">
        <v>3500</v>
      </c>
      <c r="K163">
        <v>3</v>
      </c>
      <c r="L163">
        <v>10500</v>
      </c>
      <c r="M163" t="s">
        <v>24</v>
      </c>
      <c r="N163">
        <v>5</v>
      </c>
      <c r="O163" t="s">
        <v>25</v>
      </c>
      <c r="P163" t="str">
        <f>TEXT(Hospitalitydata[[#This Row],[Booking_Date]],"mmm")</f>
        <v>Nov</v>
      </c>
    </row>
    <row r="164" spans="1:16" x14ac:dyDescent="0.3">
      <c r="A164" t="s">
        <v>475</v>
      </c>
      <c r="B164" t="s">
        <v>464</v>
      </c>
      <c r="C164" t="s">
        <v>126</v>
      </c>
      <c r="D164" t="s">
        <v>476</v>
      </c>
      <c r="E164" t="s">
        <v>37</v>
      </c>
      <c r="F164" t="s">
        <v>53</v>
      </c>
      <c r="G164" t="s">
        <v>32</v>
      </c>
      <c r="H164" t="s">
        <v>45</v>
      </c>
      <c r="I164" t="s">
        <v>33</v>
      </c>
      <c r="J164">
        <v>4500</v>
      </c>
      <c r="K164">
        <v>1</v>
      </c>
      <c r="L164">
        <v>4500</v>
      </c>
      <c r="M164" t="s">
        <v>24</v>
      </c>
      <c r="N164">
        <v>3</v>
      </c>
      <c r="O164" t="s">
        <v>25</v>
      </c>
      <c r="P164" t="str">
        <f>TEXT(Hospitalitydata[[#This Row],[Booking_Date]],"mmm")</f>
        <v>Sep</v>
      </c>
    </row>
    <row r="165" spans="1:16" x14ac:dyDescent="0.3">
      <c r="A165" t="s">
        <v>477</v>
      </c>
      <c r="B165" t="s">
        <v>142</v>
      </c>
      <c r="C165" t="s">
        <v>78</v>
      </c>
      <c r="D165" t="s">
        <v>435</v>
      </c>
      <c r="E165" t="s">
        <v>30</v>
      </c>
      <c r="F165" t="s">
        <v>20</v>
      </c>
      <c r="G165" t="s">
        <v>21</v>
      </c>
      <c r="H165" t="s">
        <v>63</v>
      </c>
      <c r="I165" t="s">
        <v>33</v>
      </c>
      <c r="J165">
        <v>2500</v>
      </c>
      <c r="K165">
        <v>3</v>
      </c>
      <c r="L165">
        <v>7500</v>
      </c>
      <c r="M165" t="s">
        <v>24</v>
      </c>
      <c r="N165">
        <v>5</v>
      </c>
      <c r="O165" t="s">
        <v>25</v>
      </c>
      <c r="P165" t="str">
        <f>TEXT(Hospitalitydata[[#This Row],[Booking_Date]],"mmm")</f>
        <v>Mar</v>
      </c>
    </row>
    <row r="166" spans="1:16" x14ac:dyDescent="0.3">
      <c r="A166" t="s">
        <v>478</v>
      </c>
      <c r="B166" t="s">
        <v>84</v>
      </c>
      <c r="C166" t="s">
        <v>316</v>
      </c>
      <c r="D166" t="s">
        <v>309</v>
      </c>
      <c r="E166" t="s">
        <v>30</v>
      </c>
      <c r="F166" t="s">
        <v>62</v>
      </c>
      <c r="G166" t="s">
        <v>21</v>
      </c>
      <c r="H166" t="s">
        <v>63</v>
      </c>
      <c r="I166" t="s">
        <v>23</v>
      </c>
      <c r="J166">
        <v>3500</v>
      </c>
      <c r="K166">
        <v>2</v>
      </c>
      <c r="L166">
        <v>7000</v>
      </c>
      <c r="M166" t="s">
        <v>24</v>
      </c>
      <c r="N166">
        <v>5</v>
      </c>
      <c r="O166" t="s">
        <v>25</v>
      </c>
      <c r="P166" t="str">
        <f>TEXT(Hospitalitydata[[#This Row],[Booking_Date]],"mmm")</f>
        <v>Nov</v>
      </c>
    </row>
    <row r="167" spans="1:16" x14ac:dyDescent="0.3">
      <c r="A167" t="s">
        <v>479</v>
      </c>
      <c r="B167" t="s">
        <v>277</v>
      </c>
      <c r="C167" t="s">
        <v>480</v>
      </c>
      <c r="D167" t="s">
        <v>445</v>
      </c>
      <c r="E167" t="s">
        <v>30</v>
      </c>
      <c r="F167" t="s">
        <v>87</v>
      </c>
      <c r="G167" t="s">
        <v>21</v>
      </c>
      <c r="H167" t="s">
        <v>63</v>
      </c>
      <c r="I167" t="s">
        <v>33</v>
      </c>
      <c r="J167">
        <v>9000</v>
      </c>
      <c r="K167">
        <v>6</v>
      </c>
      <c r="L167">
        <v>54000</v>
      </c>
      <c r="M167" t="s">
        <v>24</v>
      </c>
      <c r="N167">
        <v>4</v>
      </c>
      <c r="O167" t="s">
        <v>25</v>
      </c>
      <c r="P167" t="str">
        <f>TEXT(Hospitalitydata[[#This Row],[Booking_Date]],"mmm")</f>
        <v>Jul</v>
      </c>
    </row>
    <row r="168" spans="1:16" x14ac:dyDescent="0.3">
      <c r="A168" t="s">
        <v>481</v>
      </c>
      <c r="B168" t="s">
        <v>476</v>
      </c>
      <c r="C168" t="s">
        <v>482</v>
      </c>
      <c r="D168" t="s">
        <v>483</v>
      </c>
      <c r="E168" t="s">
        <v>37</v>
      </c>
      <c r="F168" t="s">
        <v>31</v>
      </c>
      <c r="G168" t="s">
        <v>44</v>
      </c>
      <c r="H168" t="s">
        <v>63</v>
      </c>
      <c r="I168" t="s">
        <v>46</v>
      </c>
      <c r="J168">
        <v>5500</v>
      </c>
      <c r="K168">
        <v>3</v>
      </c>
      <c r="L168">
        <v>16500</v>
      </c>
      <c r="M168" t="s">
        <v>47</v>
      </c>
      <c r="N168">
        <v>2</v>
      </c>
      <c r="O168" t="s">
        <v>48</v>
      </c>
      <c r="P168" t="str">
        <f>TEXT(Hospitalitydata[[#This Row],[Booking_Date]],"mmm")</f>
        <v>Oct</v>
      </c>
    </row>
    <row r="169" spans="1:16" x14ac:dyDescent="0.3">
      <c r="A169" t="s">
        <v>484</v>
      </c>
      <c r="B169" t="s">
        <v>82</v>
      </c>
      <c r="C169" t="s">
        <v>347</v>
      </c>
      <c r="D169" t="s">
        <v>284</v>
      </c>
      <c r="E169" t="s">
        <v>30</v>
      </c>
      <c r="F169" t="s">
        <v>62</v>
      </c>
      <c r="G169" t="s">
        <v>44</v>
      </c>
      <c r="H169" t="s">
        <v>45</v>
      </c>
      <c r="I169" t="s">
        <v>38</v>
      </c>
      <c r="J169">
        <v>5500</v>
      </c>
      <c r="K169">
        <v>5</v>
      </c>
      <c r="L169">
        <v>27500</v>
      </c>
      <c r="M169" t="s">
        <v>47</v>
      </c>
      <c r="N169">
        <v>2</v>
      </c>
      <c r="O169" t="s">
        <v>48</v>
      </c>
      <c r="P169" t="str">
        <f>TEXT(Hospitalitydata[[#This Row],[Booking_Date]],"mmm")</f>
        <v>Jul</v>
      </c>
    </row>
    <row r="170" spans="1:16" x14ac:dyDescent="0.3">
      <c r="A170" t="s">
        <v>485</v>
      </c>
      <c r="B170" t="s">
        <v>486</v>
      </c>
      <c r="C170" t="s">
        <v>339</v>
      </c>
      <c r="D170" t="s">
        <v>352</v>
      </c>
      <c r="E170" t="s">
        <v>37</v>
      </c>
      <c r="F170" t="s">
        <v>20</v>
      </c>
      <c r="G170" t="s">
        <v>32</v>
      </c>
      <c r="H170" t="s">
        <v>63</v>
      </c>
      <c r="I170" t="s">
        <v>38</v>
      </c>
      <c r="J170">
        <v>9000</v>
      </c>
      <c r="K170">
        <v>1</v>
      </c>
      <c r="L170">
        <v>9000</v>
      </c>
      <c r="M170" t="s">
        <v>24</v>
      </c>
      <c r="N170">
        <v>3</v>
      </c>
      <c r="O170" t="s">
        <v>25</v>
      </c>
      <c r="P170" t="str">
        <f>TEXT(Hospitalitydata[[#This Row],[Booking_Date]],"mmm")</f>
        <v>Jul</v>
      </c>
    </row>
    <row r="171" spans="1:16" x14ac:dyDescent="0.3">
      <c r="A171" t="s">
        <v>487</v>
      </c>
      <c r="B171" t="s">
        <v>466</v>
      </c>
      <c r="C171" t="s">
        <v>488</v>
      </c>
      <c r="D171" t="s">
        <v>122</v>
      </c>
      <c r="E171" t="s">
        <v>127</v>
      </c>
      <c r="F171" t="s">
        <v>87</v>
      </c>
      <c r="G171" t="s">
        <v>32</v>
      </c>
      <c r="H171" t="s">
        <v>63</v>
      </c>
      <c r="I171" t="s">
        <v>23</v>
      </c>
      <c r="J171">
        <v>5500</v>
      </c>
      <c r="K171">
        <v>7</v>
      </c>
      <c r="L171">
        <v>38500</v>
      </c>
      <c r="M171" t="s">
        <v>24</v>
      </c>
      <c r="N171">
        <v>3</v>
      </c>
      <c r="O171" t="s">
        <v>25</v>
      </c>
      <c r="P171" t="str">
        <f>TEXT(Hospitalitydata[[#This Row],[Booking_Date]],"mmm")</f>
        <v>Sep</v>
      </c>
    </row>
    <row r="172" spans="1:16" x14ac:dyDescent="0.3">
      <c r="A172" t="s">
        <v>489</v>
      </c>
      <c r="B172" t="s">
        <v>354</v>
      </c>
      <c r="C172" t="s">
        <v>490</v>
      </c>
      <c r="D172" t="s">
        <v>480</v>
      </c>
      <c r="E172" t="s">
        <v>37</v>
      </c>
      <c r="F172" t="s">
        <v>62</v>
      </c>
      <c r="G172" t="s">
        <v>32</v>
      </c>
      <c r="H172" t="s">
        <v>63</v>
      </c>
      <c r="I172" t="s">
        <v>23</v>
      </c>
      <c r="J172">
        <v>3500</v>
      </c>
      <c r="K172">
        <v>3</v>
      </c>
      <c r="L172">
        <v>10500</v>
      </c>
      <c r="M172" t="s">
        <v>24</v>
      </c>
      <c r="N172">
        <v>3</v>
      </c>
      <c r="O172" t="s">
        <v>25</v>
      </c>
      <c r="P172" t="str">
        <f>TEXT(Hospitalitydata[[#This Row],[Booking_Date]],"mmm")</f>
        <v>Jul</v>
      </c>
    </row>
    <row r="173" spans="1:16" x14ac:dyDescent="0.3">
      <c r="A173" t="s">
        <v>491</v>
      </c>
      <c r="B173" t="s">
        <v>18</v>
      </c>
      <c r="C173" t="s">
        <v>65</v>
      </c>
      <c r="D173" t="s">
        <v>265</v>
      </c>
      <c r="E173" t="s">
        <v>127</v>
      </c>
      <c r="F173" t="s">
        <v>62</v>
      </c>
      <c r="G173" t="s">
        <v>21</v>
      </c>
      <c r="H173" t="s">
        <v>63</v>
      </c>
      <c r="I173" t="s">
        <v>38</v>
      </c>
      <c r="J173">
        <v>3500</v>
      </c>
      <c r="K173">
        <v>7</v>
      </c>
      <c r="L173">
        <v>24500</v>
      </c>
      <c r="M173" t="s">
        <v>24</v>
      </c>
      <c r="N173">
        <v>4</v>
      </c>
      <c r="O173" t="s">
        <v>25</v>
      </c>
      <c r="P173" t="str">
        <f>TEXT(Hospitalitydata[[#This Row],[Booking_Date]],"mmm")</f>
        <v>Nov</v>
      </c>
    </row>
    <row r="174" spans="1:16" x14ac:dyDescent="0.3">
      <c r="A174" t="s">
        <v>492</v>
      </c>
      <c r="B174" t="s">
        <v>207</v>
      </c>
      <c r="C174" t="s">
        <v>28</v>
      </c>
      <c r="D174" t="s">
        <v>29</v>
      </c>
      <c r="E174" t="s">
        <v>30</v>
      </c>
      <c r="F174" t="s">
        <v>31</v>
      </c>
      <c r="G174" t="s">
        <v>21</v>
      </c>
      <c r="H174" t="s">
        <v>63</v>
      </c>
      <c r="I174" t="s">
        <v>23</v>
      </c>
      <c r="J174">
        <v>2500</v>
      </c>
      <c r="K174">
        <v>1</v>
      </c>
      <c r="L174">
        <v>2500</v>
      </c>
      <c r="M174" t="s">
        <v>24</v>
      </c>
      <c r="N174">
        <v>3</v>
      </c>
      <c r="O174" t="s">
        <v>25</v>
      </c>
      <c r="P174" t="str">
        <f>TEXT(Hospitalitydata[[#This Row],[Booking_Date]],"mmm")</f>
        <v>Nov</v>
      </c>
    </row>
    <row r="175" spans="1:16" x14ac:dyDescent="0.3">
      <c r="A175" t="s">
        <v>493</v>
      </c>
      <c r="B175" t="s">
        <v>357</v>
      </c>
      <c r="C175" t="s">
        <v>294</v>
      </c>
      <c r="D175" t="s">
        <v>281</v>
      </c>
      <c r="E175" t="s">
        <v>30</v>
      </c>
      <c r="F175" t="s">
        <v>53</v>
      </c>
      <c r="G175" t="s">
        <v>32</v>
      </c>
      <c r="H175" t="s">
        <v>45</v>
      </c>
      <c r="I175" t="s">
        <v>38</v>
      </c>
      <c r="J175">
        <v>2500</v>
      </c>
      <c r="K175">
        <v>3</v>
      </c>
      <c r="L175">
        <v>7500</v>
      </c>
      <c r="M175" t="s">
        <v>24</v>
      </c>
      <c r="N175">
        <v>4</v>
      </c>
      <c r="O175" t="s">
        <v>25</v>
      </c>
      <c r="P175" t="str">
        <f>TEXT(Hospitalitydata[[#This Row],[Booking_Date]],"mmm")</f>
        <v>May</v>
      </c>
    </row>
    <row r="176" spans="1:16" x14ac:dyDescent="0.3">
      <c r="A176" t="s">
        <v>494</v>
      </c>
      <c r="B176" t="s">
        <v>84</v>
      </c>
      <c r="C176" t="s">
        <v>495</v>
      </c>
      <c r="D176" t="s">
        <v>391</v>
      </c>
      <c r="E176" t="s">
        <v>19</v>
      </c>
      <c r="F176" t="s">
        <v>87</v>
      </c>
      <c r="G176" t="s">
        <v>44</v>
      </c>
      <c r="H176" t="s">
        <v>45</v>
      </c>
      <c r="I176" t="s">
        <v>46</v>
      </c>
      <c r="J176">
        <v>9000</v>
      </c>
      <c r="K176">
        <v>1</v>
      </c>
      <c r="L176">
        <v>9000</v>
      </c>
      <c r="M176" t="s">
        <v>24</v>
      </c>
      <c r="N176">
        <v>3</v>
      </c>
      <c r="O176" t="s">
        <v>25</v>
      </c>
      <c r="P176" t="str">
        <f>TEXT(Hospitalitydata[[#This Row],[Booking_Date]],"mmm")</f>
        <v>Nov</v>
      </c>
    </row>
    <row r="177" spans="1:16" x14ac:dyDescent="0.3">
      <c r="A177" t="s">
        <v>496</v>
      </c>
      <c r="B177" t="s">
        <v>497</v>
      </c>
      <c r="C177" t="s">
        <v>498</v>
      </c>
      <c r="D177" t="s">
        <v>232</v>
      </c>
      <c r="E177" t="s">
        <v>30</v>
      </c>
      <c r="F177" t="s">
        <v>87</v>
      </c>
      <c r="G177" t="s">
        <v>32</v>
      </c>
      <c r="H177" t="s">
        <v>22</v>
      </c>
      <c r="I177" t="s">
        <v>23</v>
      </c>
      <c r="J177">
        <v>3500</v>
      </c>
      <c r="K177">
        <v>4</v>
      </c>
      <c r="L177">
        <v>14000</v>
      </c>
      <c r="M177" t="s">
        <v>24</v>
      </c>
      <c r="N177">
        <v>3</v>
      </c>
      <c r="O177" t="s">
        <v>25</v>
      </c>
      <c r="P177" t="str">
        <f>TEXT(Hospitalitydata[[#This Row],[Booking_Date]],"mmm")</f>
        <v>May</v>
      </c>
    </row>
    <row r="178" spans="1:16" x14ac:dyDescent="0.3">
      <c r="A178" t="s">
        <v>499</v>
      </c>
      <c r="B178" t="s">
        <v>52</v>
      </c>
      <c r="C178" t="s">
        <v>359</v>
      </c>
      <c r="D178" t="s">
        <v>408</v>
      </c>
      <c r="E178" t="s">
        <v>37</v>
      </c>
      <c r="F178" t="s">
        <v>20</v>
      </c>
      <c r="G178" t="s">
        <v>44</v>
      </c>
      <c r="H178" t="s">
        <v>45</v>
      </c>
      <c r="I178" t="s">
        <v>46</v>
      </c>
      <c r="J178">
        <v>2500</v>
      </c>
      <c r="K178">
        <v>4</v>
      </c>
      <c r="L178">
        <v>10000</v>
      </c>
      <c r="M178" t="s">
        <v>24</v>
      </c>
      <c r="N178">
        <v>4</v>
      </c>
      <c r="O178" t="s">
        <v>25</v>
      </c>
      <c r="P178" t="str">
        <f>TEXT(Hospitalitydata[[#This Row],[Booking_Date]],"mmm")</f>
        <v>Jul</v>
      </c>
    </row>
    <row r="179" spans="1:16" x14ac:dyDescent="0.3">
      <c r="A179" t="s">
        <v>500</v>
      </c>
      <c r="B179" t="s">
        <v>497</v>
      </c>
      <c r="C179" t="s">
        <v>357</v>
      </c>
      <c r="D179" t="s">
        <v>244</v>
      </c>
      <c r="E179" t="s">
        <v>37</v>
      </c>
      <c r="F179" t="s">
        <v>62</v>
      </c>
      <c r="G179" t="s">
        <v>32</v>
      </c>
      <c r="H179" t="s">
        <v>63</v>
      </c>
      <c r="I179" t="s">
        <v>46</v>
      </c>
      <c r="J179">
        <v>9000</v>
      </c>
      <c r="K179">
        <v>6</v>
      </c>
      <c r="L179">
        <v>54000</v>
      </c>
      <c r="M179" t="s">
        <v>24</v>
      </c>
      <c r="N179">
        <v>5</v>
      </c>
      <c r="O179" t="s">
        <v>25</v>
      </c>
      <c r="P179" t="str">
        <f>TEXT(Hospitalitydata[[#This Row],[Booking_Date]],"mmm")</f>
        <v>May</v>
      </c>
    </row>
    <row r="180" spans="1:16" x14ac:dyDescent="0.3">
      <c r="A180" t="s">
        <v>501</v>
      </c>
      <c r="B180" t="s">
        <v>437</v>
      </c>
      <c r="C180" t="s">
        <v>502</v>
      </c>
      <c r="D180" t="s">
        <v>503</v>
      </c>
      <c r="E180" t="s">
        <v>127</v>
      </c>
      <c r="F180" t="s">
        <v>62</v>
      </c>
      <c r="G180" t="s">
        <v>32</v>
      </c>
      <c r="H180" t="s">
        <v>45</v>
      </c>
      <c r="I180" t="s">
        <v>38</v>
      </c>
      <c r="J180">
        <v>9000</v>
      </c>
      <c r="K180">
        <v>7</v>
      </c>
      <c r="L180">
        <v>63000</v>
      </c>
      <c r="M180" t="s">
        <v>24</v>
      </c>
      <c r="N180">
        <v>5</v>
      </c>
      <c r="O180" t="s">
        <v>25</v>
      </c>
      <c r="P180" t="str">
        <f>TEXT(Hospitalitydata[[#This Row],[Booking_Date]],"mmm")</f>
        <v>Nov</v>
      </c>
    </row>
    <row r="181" spans="1:16" x14ac:dyDescent="0.3">
      <c r="A181" t="s">
        <v>504</v>
      </c>
      <c r="B181" t="s">
        <v>505</v>
      </c>
      <c r="C181" t="s">
        <v>506</v>
      </c>
      <c r="D181" t="s">
        <v>311</v>
      </c>
      <c r="E181" t="s">
        <v>37</v>
      </c>
      <c r="F181" t="s">
        <v>87</v>
      </c>
      <c r="G181" t="s">
        <v>21</v>
      </c>
      <c r="H181" t="s">
        <v>63</v>
      </c>
      <c r="I181" t="s">
        <v>38</v>
      </c>
      <c r="J181">
        <v>2500</v>
      </c>
      <c r="K181">
        <v>2</v>
      </c>
      <c r="L181">
        <v>5000</v>
      </c>
      <c r="M181" t="s">
        <v>24</v>
      </c>
      <c r="N181">
        <v>3</v>
      </c>
      <c r="O181" t="s">
        <v>25</v>
      </c>
      <c r="P181" t="str">
        <f>TEXT(Hospitalitydata[[#This Row],[Booking_Date]],"mmm")</f>
        <v>Jan</v>
      </c>
    </row>
    <row r="182" spans="1:16" x14ac:dyDescent="0.3">
      <c r="A182" t="s">
        <v>507</v>
      </c>
      <c r="B182" t="s">
        <v>326</v>
      </c>
      <c r="C182" t="s">
        <v>508</v>
      </c>
      <c r="D182" t="s">
        <v>109</v>
      </c>
      <c r="E182" t="s">
        <v>43</v>
      </c>
      <c r="F182" t="s">
        <v>87</v>
      </c>
      <c r="G182" t="s">
        <v>44</v>
      </c>
      <c r="H182" t="s">
        <v>45</v>
      </c>
      <c r="I182" t="s">
        <v>46</v>
      </c>
      <c r="J182">
        <v>9000</v>
      </c>
      <c r="K182">
        <v>7</v>
      </c>
      <c r="L182">
        <v>63000</v>
      </c>
      <c r="M182" t="s">
        <v>24</v>
      </c>
      <c r="N182">
        <v>4</v>
      </c>
      <c r="O182" t="s">
        <v>25</v>
      </c>
      <c r="P182" t="str">
        <f>TEXT(Hospitalitydata[[#This Row],[Booking_Date]],"mmm")</f>
        <v>May</v>
      </c>
    </row>
    <row r="183" spans="1:16" x14ac:dyDescent="0.3">
      <c r="A183" t="s">
        <v>509</v>
      </c>
      <c r="B183" t="s">
        <v>187</v>
      </c>
      <c r="C183" t="s">
        <v>71</v>
      </c>
      <c r="D183" t="s">
        <v>162</v>
      </c>
      <c r="E183" t="s">
        <v>37</v>
      </c>
      <c r="F183" t="s">
        <v>62</v>
      </c>
      <c r="G183" t="s">
        <v>44</v>
      </c>
      <c r="H183" t="s">
        <v>22</v>
      </c>
      <c r="I183" t="s">
        <v>38</v>
      </c>
      <c r="J183">
        <v>9000</v>
      </c>
      <c r="K183">
        <v>4</v>
      </c>
      <c r="L183">
        <v>36000</v>
      </c>
      <c r="M183" t="s">
        <v>24</v>
      </c>
      <c r="N183">
        <v>4</v>
      </c>
      <c r="O183" t="s">
        <v>25</v>
      </c>
      <c r="P183" t="str">
        <f>TEXT(Hospitalitydata[[#This Row],[Booking_Date]],"mmm")</f>
        <v>Aug</v>
      </c>
    </row>
    <row r="184" spans="1:16" x14ac:dyDescent="0.3">
      <c r="A184" t="s">
        <v>510</v>
      </c>
      <c r="B184" t="s">
        <v>168</v>
      </c>
      <c r="C184" t="s">
        <v>417</v>
      </c>
      <c r="D184" t="s">
        <v>176</v>
      </c>
      <c r="E184" t="s">
        <v>127</v>
      </c>
      <c r="F184" t="s">
        <v>20</v>
      </c>
      <c r="G184" t="s">
        <v>44</v>
      </c>
      <c r="H184" t="s">
        <v>22</v>
      </c>
      <c r="I184" t="s">
        <v>33</v>
      </c>
      <c r="J184">
        <v>7000</v>
      </c>
      <c r="K184">
        <v>7</v>
      </c>
      <c r="L184">
        <v>49000</v>
      </c>
      <c r="M184" t="s">
        <v>24</v>
      </c>
      <c r="N184">
        <v>3</v>
      </c>
      <c r="O184" t="s">
        <v>25</v>
      </c>
      <c r="P184" t="str">
        <f>TEXT(Hospitalitydata[[#This Row],[Booking_Date]],"mmm")</f>
        <v>Jul</v>
      </c>
    </row>
    <row r="185" spans="1:16" x14ac:dyDescent="0.3">
      <c r="A185" t="s">
        <v>511</v>
      </c>
      <c r="B185" t="s">
        <v>350</v>
      </c>
      <c r="C185" t="s">
        <v>133</v>
      </c>
      <c r="D185" t="s">
        <v>512</v>
      </c>
      <c r="E185" t="s">
        <v>37</v>
      </c>
      <c r="F185" t="s">
        <v>87</v>
      </c>
      <c r="G185" t="s">
        <v>44</v>
      </c>
      <c r="H185" t="s">
        <v>22</v>
      </c>
      <c r="I185" t="s">
        <v>38</v>
      </c>
      <c r="J185">
        <v>2500</v>
      </c>
      <c r="K185">
        <v>3</v>
      </c>
      <c r="L185">
        <v>7500</v>
      </c>
      <c r="M185" t="s">
        <v>24</v>
      </c>
      <c r="N185">
        <v>5</v>
      </c>
      <c r="O185" t="s">
        <v>25</v>
      </c>
      <c r="P185" t="str">
        <f>TEXT(Hospitalitydata[[#This Row],[Booking_Date]],"mmm")</f>
        <v>Oct</v>
      </c>
    </row>
    <row r="186" spans="1:16" x14ac:dyDescent="0.3">
      <c r="A186" t="s">
        <v>513</v>
      </c>
      <c r="B186" t="s">
        <v>435</v>
      </c>
      <c r="C186" t="s">
        <v>108</v>
      </c>
      <c r="D186" t="s">
        <v>372</v>
      </c>
      <c r="E186" t="s">
        <v>37</v>
      </c>
      <c r="F186" t="s">
        <v>31</v>
      </c>
      <c r="G186" t="s">
        <v>44</v>
      </c>
      <c r="H186" t="s">
        <v>63</v>
      </c>
      <c r="I186" t="s">
        <v>23</v>
      </c>
      <c r="J186">
        <v>4500</v>
      </c>
      <c r="K186">
        <v>4</v>
      </c>
      <c r="L186">
        <v>18000</v>
      </c>
      <c r="M186" t="s">
        <v>24</v>
      </c>
      <c r="N186">
        <v>5</v>
      </c>
      <c r="O186" t="s">
        <v>25</v>
      </c>
      <c r="P186" t="str">
        <f>TEXT(Hospitalitydata[[#This Row],[Booking_Date]],"mmm")</f>
        <v>Mar</v>
      </c>
    </row>
    <row r="187" spans="1:16" x14ac:dyDescent="0.3">
      <c r="A187" t="s">
        <v>514</v>
      </c>
      <c r="B187" t="s">
        <v>515</v>
      </c>
      <c r="C187" t="s">
        <v>105</v>
      </c>
      <c r="D187" t="s">
        <v>453</v>
      </c>
      <c r="E187" t="s">
        <v>19</v>
      </c>
      <c r="F187" t="s">
        <v>20</v>
      </c>
      <c r="G187" t="s">
        <v>32</v>
      </c>
      <c r="H187" t="s">
        <v>22</v>
      </c>
      <c r="I187" t="s">
        <v>38</v>
      </c>
      <c r="J187">
        <v>5500</v>
      </c>
      <c r="K187">
        <v>6</v>
      </c>
      <c r="L187">
        <v>33000</v>
      </c>
      <c r="M187" t="s">
        <v>24</v>
      </c>
      <c r="N187">
        <v>5</v>
      </c>
      <c r="O187" t="s">
        <v>25</v>
      </c>
      <c r="P187" t="str">
        <f>TEXT(Hospitalitydata[[#This Row],[Booking_Date]],"mmm")</f>
        <v>Feb</v>
      </c>
    </row>
    <row r="188" spans="1:16" x14ac:dyDescent="0.3">
      <c r="A188" t="s">
        <v>516</v>
      </c>
      <c r="B188" t="s">
        <v>342</v>
      </c>
      <c r="C188" t="s">
        <v>517</v>
      </c>
      <c r="D188" t="s">
        <v>370</v>
      </c>
      <c r="E188" t="s">
        <v>37</v>
      </c>
      <c r="F188" t="s">
        <v>53</v>
      </c>
      <c r="G188" t="s">
        <v>21</v>
      </c>
      <c r="H188" t="s">
        <v>45</v>
      </c>
      <c r="I188" t="s">
        <v>33</v>
      </c>
      <c r="J188">
        <v>3500</v>
      </c>
      <c r="K188">
        <v>1</v>
      </c>
      <c r="L188">
        <v>3500</v>
      </c>
      <c r="M188" t="s">
        <v>24</v>
      </c>
      <c r="N188">
        <v>4</v>
      </c>
      <c r="O188" t="s">
        <v>25</v>
      </c>
      <c r="P188" t="str">
        <f>TEXT(Hospitalitydata[[#This Row],[Booking_Date]],"mmm")</f>
        <v>Jan</v>
      </c>
    </row>
    <row r="189" spans="1:16" x14ac:dyDescent="0.3">
      <c r="A189" t="s">
        <v>518</v>
      </c>
      <c r="B189" t="s">
        <v>192</v>
      </c>
      <c r="C189" t="s">
        <v>519</v>
      </c>
      <c r="D189" t="s">
        <v>394</v>
      </c>
      <c r="E189" t="s">
        <v>30</v>
      </c>
      <c r="F189" t="s">
        <v>62</v>
      </c>
      <c r="G189" t="s">
        <v>21</v>
      </c>
      <c r="H189" t="s">
        <v>63</v>
      </c>
      <c r="I189" t="s">
        <v>38</v>
      </c>
      <c r="J189">
        <v>4500</v>
      </c>
      <c r="K189">
        <v>3</v>
      </c>
      <c r="L189">
        <v>13500</v>
      </c>
      <c r="M189" t="s">
        <v>24</v>
      </c>
      <c r="N189">
        <v>3</v>
      </c>
      <c r="O189" t="s">
        <v>25</v>
      </c>
      <c r="P189" t="str">
        <f>TEXT(Hospitalitydata[[#This Row],[Booking_Date]],"mmm")</f>
        <v>Dec</v>
      </c>
    </row>
    <row r="190" spans="1:16" x14ac:dyDescent="0.3">
      <c r="A190" t="s">
        <v>520</v>
      </c>
      <c r="B190" t="s">
        <v>471</v>
      </c>
      <c r="C190" t="s">
        <v>179</v>
      </c>
      <c r="D190" t="s">
        <v>260</v>
      </c>
      <c r="E190" t="s">
        <v>19</v>
      </c>
      <c r="F190" t="s">
        <v>53</v>
      </c>
      <c r="G190" t="s">
        <v>21</v>
      </c>
      <c r="H190" t="s">
        <v>63</v>
      </c>
      <c r="I190" t="s">
        <v>23</v>
      </c>
      <c r="J190">
        <v>3500</v>
      </c>
      <c r="K190">
        <v>3</v>
      </c>
      <c r="L190">
        <v>10500</v>
      </c>
      <c r="M190" t="s">
        <v>47</v>
      </c>
      <c r="N190">
        <v>1</v>
      </c>
      <c r="O190" t="s">
        <v>48</v>
      </c>
      <c r="P190" t="str">
        <f>TEXT(Hospitalitydata[[#This Row],[Booking_Date]],"mmm")</f>
        <v>Jun</v>
      </c>
    </row>
    <row r="191" spans="1:16" x14ac:dyDescent="0.3">
      <c r="A191" t="s">
        <v>521</v>
      </c>
      <c r="B191" t="s">
        <v>522</v>
      </c>
      <c r="C191" t="s">
        <v>230</v>
      </c>
      <c r="D191" t="s">
        <v>282</v>
      </c>
      <c r="E191" t="s">
        <v>37</v>
      </c>
      <c r="F191" t="s">
        <v>53</v>
      </c>
      <c r="G191" t="s">
        <v>32</v>
      </c>
      <c r="H191" t="s">
        <v>45</v>
      </c>
      <c r="I191" t="s">
        <v>33</v>
      </c>
      <c r="J191">
        <v>9000</v>
      </c>
      <c r="K191">
        <v>3</v>
      </c>
      <c r="L191">
        <v>27000</v>
      </c>
      <c r="M191" t="s">
        <v>24</v>
      </c>
      <c r="N191">
        <v>5</v>
      </c>
      <c r="O191" t="s">
        <v>25</v>
      </c>
      <c r="P191" t="str">
        <f>TEXT(Hospitalitydata[[#This Row],[Booking_Date]],"mmm")</f>
        <v>May</v>
      </c>
    </row>
    <row r="192" spans="1:16" x14ac:dyDescent="0.3">
      <c r="A192" t="s">
        <v>523</v>
      </c>
      <c r="B192" t="s">
        <v>159</v>
      </c>
      <c r="C192" t="s">
        <v>262</v>
      </c>
      <c r="D192" t="s">
        <v>399</v>
      </c>
      <c r="E192" t="s">
        <v>37</v>
      </c>
      <c r="F192" t="s">
        <v>87</v>
      </c>
      <c r="G192" t="s">
        <v>21</v>
      </c>
      <c r="H192" t="s">
        <v>45</v>
      </c>
      <c r="I192" t="s">
        <v>46</v>
      </c>
      <c r="J192">
        <v>9000</v>
      </c>
      <c r="K192">
        <v>2</v>
      </c>
      <c r="L192">
        <v>18000</v>
      </c>
      <c r="M192" t="s">
        <v>24</v>
      </c>
      <c r="N192">
        <v>3</v>
      </c>
      <c r="O192" t="s">
        <v>25</v>
      </c>
      <c r="P192" t="str">
        <f>TEXT(Hospitalitydata[[#This Row],[Booking_Date]],"mmm")</f>
        <v>Feb</v>
      </c>
    </row>
    <row r="193" spans="1:16" x14ac:dyDescent="0.3">
      <c r="A193" t="s">
        <v>524</v>
      </c>
      <c r="B193" t="s">
        <v>244</v>
      </c>
      <c r="C193" t="s">
        <v>179</v>
      </c>
      <c r="D193" t="s">
        <v>41</v>
      </c>
      <c r="E193" t="s">
        <v>19</v>
      </c>
      <c r="F193" t="s">
        <v>87</v>
      </c>
      <c r="G193" t="s">
        <v>21</v>
      </c>
      <c r="H193" t="s">
        <v>45</v>
      </c>
      <c r="I193" t="s">
        <v>23</v>
      </c>
      <c r="J193">
        <v>9000</v>
      </c>
      <c r="K193">
        <v>2</v>
      </c>
      <c r="L193">
        <v>18000</v>
      </c>
      <c r="M193" t="s">
        <v>24</v>
      </c>
      <c r="N193">
        <v>5</v>
      </c>
      <c r="O193" t="s">
        <v>25</v>
      </c>
      <c r="P193" t="str">
        <f>TEXT(Hospitalitydata[[#This Row],[Booking_Date]],"mmm")</f>
        <v>Jun</v>
      </c>
    </row>
    <row r="194" spans="1:16" x14ac:dyDescent="0.3">
      <c r="A194" t="s">
        <v>525</v>
      </c>
      <c r="B194" t="s">
        <v>526</v>
      </c>
      <c r="C194" t="s">
        <v>527</v>
      </c>
      <c r="D194" t="s">
        <v>365</v>
      </c>
      <c r="E194" t="s">
        <v>37</v>
      </c>
      <c r="F194" t="s">
        <v>31</v>
      </c>
      <c r="G194" t="s">
        <v>21</v>
      </c>
      <c r="H194" t="s">
        <v>63</v>
      </c>
      <c r="I194" t="s">
        <v>38</v>
      </c>
      <c r="J194">
        <v>3500</v>
      </c>
      <c r="K194">
        <v>2</v>
      </c>
      <c r="L194">
        <v>7000</v>
      </c>
      <c r="M194" t="s">
        <v>24</v>
      </c>
      <c r="N194">
        <v>3</v>
      </c>
      <c r="O194" t="s">
        <v>25</v>
      </c>
      <c r="P194" t="str">
        <f>TEXT(Hospitalitydata[[#This Row],[Booking_Date]],"mmm")</f>
        <v>Apr</v>
      </c>
    </row>
    <row r="195" spans="1:16" x14ac:dyDescent="0.3">
      <c r="A195" t="s">
        <v>528</v>
      </c>
      <c r="B195" t="s">
        <v>330</v>
      </c>
      <c r="C195" t="s">
        <v>147</v>
      </c>
      <c r="D195" t="s">
        <v>512</v>
      </c>
      <c r="E195" t="s">
        <v>127</v>
      </c>
      <c r="F195" t="s">
        <v>31</v>
      </c>
      <c r="G195" t="s">
        <v>44</v>
      </c>
      <c r="H195" t="s">
        <v>63</v>
      </c>
      <c r="I195" t="s">
        <v>23</v>
      </c>
      <c r="J195">
        <v>2500</v>
      </c>
      <c r="K195">
        <v>5</v>
      </c>
      <c r="L195">
        <v>12500</v>
      </c>
      <c r="M195" t="s">
        <v>24</v>
      </c>
      <c r="N195">
        <v>4</v>
      </c>
      <c r="O195" t="s">
        <v>25</v>
      </c>
      <c r="P195" t="str">
        <f>TEXT(Hospitalitydata[[#This Row],[Booking_Date]],"mmm")</f>
        <v>Oct</v>
      </c>
    </row>
    <row r="196" spans="1:16" x14ac:dyDescent="0.3">
      <c r="A196" t="s">
        <v>529</v>
      </c>
      <c r="B196" t="s">
        <v>530</v>
      </c>
      <c r="C196" t="s">
        <v>196</v>
      </c>
      <c r="D196" t="s">
        <v>214</v>
      </c>
      <c r="E196" t="s">
        <v>30</v>
      </c>
      <c r="F196" t="s">
        <v>87</v>
      </c>
      <c r="G196" t="s">
        <v>32</v>
      </c>
      <c r="H196" t="s">
        <v>22</v>
      </c>
      <c r="I196" t="s">
        <v>33</v>
      </c>
      <c r="J196">
        <v>2500</v>
      </c>
      <c r="K196">
        <v>6</v>
      </c>
      <c r="L196">
        <v>15000</v>
      </c>
      <c r="M196" t="s">
        <v>24</v>
      </c>
      <c r="N196">
        <v>5</v>
      </c>
      <c r="O196" t="s">
        <v>25</v>
      </c>
      <c r="P196" t="str">
        <f>TEXT(Hospitalitydata[[#This Row],[Booking_Date]],"mmm")</f>
        <v>Mar</v>
      </c>
    </row>
    <row r="197" spans="1:16" x14ac:dyDescent="0.3">
      <c r="A197" t="s">
        <v>531</v>
      </c>
      <c r="B197" t="s">
        <v>453</v>
      </c>
      <c r="C197" t="s">
        <v>532</v>
      </c>
      <c r="D197" t="s">
        <v>435</v>
      </c>
      <c r="E197" t="s">
        <v>19</v>
      </c>
      <c r="F197" t="s">
        <v>87</v>
      </c>
      <c r="G197" t="s">
        <v>32</v>
      </c>
      <c r="H197" t="s">
        <v>45</v>
      </c>
      <c r="I197" t="s">
        <v>46</v>
      </c>
      <c r="J197">
        <v>2500</v>
      </c>
      <c r="K197">
        <v>5</v>
      </c>
      <c r="L197">
        <v>12500</v>
      </c>
      <c r="M197" t="s">
        <v>24</v>
      </c>
      <c r="N197">
        <v>5</v>
      </c>
      <c r="O197" t="s">
        <v>25</v>
      </c>
      <c r="P197" t="str">
        <f>TEXT(Hospitalitydata[[#This Row],[Booking_Date]],"mmm")</f>
        <v>Mar</v>
      </c>
    </row>
    <row r="198" spans="1:16" x14ac:dyDescent="0.3">
      <c r="A198" t="s">
        <v>533</v>
      </c>
      <c r="B198" t="s">
        <v>448</v>
      </c>
      <c r="C198" t="s">
        <v>314</v>
      </c>
      <c r="D198" t="s">
        <v>193</v>
      </c>
      <c r="E198" t="s">
        <v>37</v>
      </c>
      <c r="F198" t="s">
        <v>62</v>
      </c>
      <c r="G198" t="s">
        <v>21</v>
      </c>
      <c r="H198" t="s">
        <v>22</v>
      </c>
      <c r="I198" t="s">
        <v>46</v>
      </c>
      <c r="J198">
        <v>7000</v>
      </c>
      <c r="K198">
        <v>3</v>
      </c>
      <c r="L198">
        <v>21000</v>
      </c>
      <c r="M198" t="s">
        <v>47</v>
      </c>
      <c r="N198">
        <v>1</v>
      </c>
      <c r="O198" t="s">
        <v>48</v>
      </c>
      <c r="P198" t="str">
        <f>TEXT(Hospitalitydata[[#This Row],[Booking_Date]],"mmm")</f>
        <v>Dec</v>
      </c>
    </row>
    <row r="199" spans="1:16" x14ac:dyDescent="0.3">
      <c r="A199" t="s">
        <v>534</v>
      </c>
      <c r="B199" t="s">
        <v>530</v>
      </c>
      <c r="C199" t="s">
        <v>435</v>
      </c>
      <c r="D199" t="s">
        <v>535</v>
      </c>
      <c r="E199" t="s">
        <v>19</v>
      </c>
      <c r="F199" t="s">
        <v>31</v>
      </c>
      <c r="G199" t="s">
        <v>21</v>
      </c>
      <c r="H199" t="s">
        <v>45</v>
      </c>
      <c r="I199" t="s">
        <v>33</v>
      </c>
      <c r="J199">
        <v>7000</v>
      </c>
      <c r="K199">
        <v>3</v>
      </c>
      <c r="L199">
        <v>21000</v>
      </c>
      <c r="M199" t="s">
        <v>24</v>
      </c>
      <c r="N199">
        <v>5</v>
      </c>
      <c r="O199" t="s">
        <v>25</v>
      </c>
      <c r="P199" t="str">
        <f>TEXT(Hospitalitydata[[#This Row],[Booking_Date]],"mmm")</f>
        <v>Mar</v>
      </c>
    </row>
    <row r="200" spans="1:16" x14ac:dyDescent="0.3">
      <c r="A200" t="s">
        <v>536</v>
      </c>
      <c r="B200" t="s">
        <v>189</v>
      </c>
      <c r="C200" t="s">
        <v>537</v>
      </c>
      <c r="D200" t="s">
        <v>448</v>
      </c>
      <c r="E200" t="s">
        <v>43</v>
      </c>
      <c r="F200" t="s">
        <v>20</v>
      </c>
      <c r="G200" t="s">
        <v>32</v>
      </c>
      <c r="H200" t="s">
        <v>45</v>
      </c>
      <c r="I200" t="s">
        <v>46</v>
      </c>
      <c r="J200">
        <v>7000</v>
      </c>
      <c r="K200">
        <v>6</v>
      </c>
      <c r="L200">
        <v>42000</v>
      </c>
      <c r="M200" t="s">
        <v>24</v>
      </c>
      <c r="N200">
        <v>5</v>
      </c>
      <c r="O200" t="s">
        <v>25</v>
      </c>
      <c r="P200" t="str">
        <f>TEXT(Hospitalitydata[[#This Row],[Booking_Date]],"mmm")</f>
        <v>Dec</v>
      </c>
    </row>
    <row r="201" spans="1:16" x14ac:dyDescent="0.3">
      <c r="A201" t="s">
        <v>538</v>
      </c>
      <c r="B201" t="s">
        <v>539</v>
      </c>
      <c r="C201" t="s">
        <v>225</v>
      </c>
      <c r="D201" t="s">
        <v>192</v>
      </c>
      <c r="E201" t="s">
        <v>43</v>
      </c>
      <c r="F201" t="s">
        <v>53</v>
      </c>
      <c r="G201" t="s">
        <v>21</v>
      </c>
      <c r="H201" t="s">
        <v>22</v>
      </c>
      <c r="I201" t="s">
        <v>46</v>
      </c>
      <c r="J201">
        <v>7000</v>
      </c>
      <c r="K201">
        <v>7</v>
      </c>
      <c r="L201">
        <v>49000</v>
      </c>
      <c r="M201" t="s">
        <v>24</v>
      </c>
      <c r="N201">
        <v>5</v>
      </c>
      <c r="O201" t="s">
        <v>25</v>
      </c>
      <c r="P201" t="str">
        <f>TEXT(Hospitalitydata[[#This Row],[Booking_Date]],"mmm")</f>
        <v>Nov</v>
      </c>
    </row>
    <row r="202" spans="1:16" x14ac:dyDescent="0.3">
      <c r="A202" t="s">
        <v>540</v>
      </c>
      <c r="B202" t="s">
        <v>541</v>
      </c>
      <c r="C202" t="s">
        <v>264</v>
      </c>
      <c r="D202" t="s">
        <v>503</v>
      </c>
      <c r="E202" t="s">
        <v>127</v>
      </c>
      <c r="F202" t="s">
        <v>87</v>
      </c>
      <c r="G202" t="s">
        <v>44</v>
      </c>
      <c r="H202" t="s">
        <v>45</v>
      </c>
      <c r="I202" t="s">
        <v>23</v>
      </c>
      <c r="J202">
        <v>3500</v>
      </c>
      <c r="K202">
        <v>4</v>
      </c>
      <c r="L202">
        <v>14000</v>
      </c>
      <c r="M202" t="s">
        <v>24</v>
      </c>
      <c r="N202">
        <v>5</v>
      </c>
      <c r="O202" t="s">
        <v>25</v>
      </c>
      <c r="P202" t="str">
        <f>TEXT(Hospitalitydata[[#This Row],[Booking_Date]],"mmm")</f>
        <v>Nov</v>
      </c>
    </row>
    <row r="203" spans="1:16" x14ac:dyDescent="0.3">
      <c r="A203" t="s">
        <v>542</v>
      </c>
      <c r="B203" t="s">
        <v>532</v>
      </c>
      <c r="C203" t="s">
        <v>157</v>
      </c>
      <c r="D203" t="s">
        <v>405</v>
      </c>
      <c r="E203" t="s">
        <v>30</v>
      </c>
      <c r="F203" t="s">
        <v>62</v>
      </c>
      <c r="G203" t="s">
        <v>44</v>
      </c>
      <c r="H203" t="s">
        <v>22</v>
      </c>
      <c r="I203" t="s">
        <v>46</v>
      </c>
      <c r="J203">
        <v>5500</v>
      </c>
      <c r="K203">
        <v>4</v>
      </c>
      <c r="L203">
        <v>22000</v>
      </c>
      <c r="M203" t="s">
        <v>24</v>
      </c>
      <c r="N203">
        <v>4</v>
      </c>
      <c r="O203" t="s">
        <v>25</v>
      </c>
      <c r="P203" t="str">
        <f>TEXT(Hospitalitydata[[#This Row],[Booking_Date]],"mmm")</f>
        <v>Mar</v>
      </c>
    </row>
    <row r="204" spans="1:16" x14ac:dyDescent="0.3">
      <c r="A204" t="s">
        <v>543</v>
      </c>
      <c r="B204" t="s">
        <v>50</v>
      </c>
      <c r="C204" t="s">
        <v>473</v>
      </c>
      <c r="D204" t="s">
        <v>544</v>
      </c>
      <c r="E204" t="s">
        <v>37</v>
      </c>
      <c r="F204" t="s">
        <v>62</v>
      </c>
      <c r="G204" t="s">
        <v>44</v>
      </c>
      <c r="H204" t="s">
        <v>45</v>
      </c>
      <c r="I204" t="s">
        <v>46</v>
      </c>
      <c r="J204">
        <v>4500</v>
      </c>
      <c r="K204">
        <v>2</v>
      </c>
      <c r="L204">
        <v>9000</v>
      </c>
      <c r="M204" t="s">
        <v>24</v>
      </c>
      <c r="N204">
        <v>3</v>
      </c>
      <c r="O204" t="s">
        <v>25</v>
      </c>
      <c r="P204" t="str">
        <f>TEXT(Hospitalitydata[[#This Row],[Booking_Date]],"mmm")</f>
        <v>Jun</v>
      </c>
    </row>
    <row r="205" spans="1:16" x14ac:dyDescent="0.3">
      <c r="A205" t="s">
        <v>545</v>
      </c>
      <c r="B205" t="s">
        <v>546</v>
      </c>
      <c r="C205" t="s">
        <v>210</v>
      </c>
      <c r="D205" t="s">
        <v>250</v>
      </c>
      <c r="E205" t="s">
        <v>30</v>
      </c>
      <c r="F205" t="s">
        <v>53</v>
      </c>
      <c r="G205" t="s">
        <v>32</v>
      </c>
      <c r="H205" t="s">
        <v>45</v>
      </c>
      <c r="I205" t="s">
        <v>46</v>
      </c>
      <c r="J205">
        <v>2500</v>
      </c>
      <c r="K205">
        <v>2</v>
      </c>
      <c r="L205">
        <v>5000</v>
      </c>
      <c r="M205" t="s">
        <v>24</v>
      </c>
      <c r="N205">
        <v>4</v>
      </c>
      <c r="O205" t="s">
        <v>25</v>
      </c>
      <c r="P205" t="str">
        <f>TEXT(Hospitalitydata[[#This Row],[Booking_Date]],"mmm")</f>
        <v>Aug</v>
      </c>
    </row>
    <row r="206" spans="1:16" x14ac:dyDescent="0.3">
      <c r="A206" t="s">
        <v>547</v>
      </c>
      <c r="B206" t="s">
        <v>198</v>
      </c>
      <c r="C206" t="s">
        <v>317</v>
      </c>
      <c r="D206" t="s">
        <v>300</v>
      </c>
      <c r="E206" t="s">
        <v>30</v>
      </c>
      <c r="F206" t="s">
        <v>53</v>
      </c>
      <c r="G206" t="s">
        <v>44</v>
      </c>
      <c r="H206" t="s">
        <v>63</v>
      </c>
      <c r="I206" t="s">
        <v>38</v>
      </c>
      <c r="J206">
        <v>3500</v>
      </c>
      <c r="K206">
        <v>3</v>
      </c>
      <c r="L206">
        <v>10500</v>
      </c>
      <c r="M206" t="s">
        <v>24</v>
      </c>
      <c r="N206">
        <v>4</v>
      </c>
      <c r="O206" t="s">
        <v>25</v>
      </c>
      <c r="P206" t="str">
        <f>TEXT(Hospitalitydata[[#This Row],[Booking_Date]],"mmm")</f>
        <v>Oct</v>
      </c>
    </row>
    <row r="207" spans="1:16" x14ac:dyDescent="0.3">
      <c r="A207" t="s">
        <v>548</v>
      </c>
      <c r="B207" t="s">
        <v>341</v>
      </c>
      <c r="C207" t="s">
        <v>549</v>
      </c>
      <c r="D207" t="s">
        <v>505</v>
      </c>
      <c r="E207" t="s">
        <v>19</v>
      </c>
      <c r="F207" t="s">
        <v>31</v>
      </c>
      <c r="G207" t="s">
        <v>44</v>
      </c>
      <c r="H207" t="s">
        <v>45</v>
      </c>
      <c r="I207" t="s">
        <v>23</v>
      </c>
      <c r="J207">
        <v>7000</v>
      </c>
      <c r="K207">
        <v>4</v>
      </c>
      <c r="L207">
        <v>28000</v>
      </c>
      <c r="M207" t="s">
        <v>24</v>
      </c>
      <c r="N207">
        <v>3</v>
      </c>
      <c r="O207" t="s">
        <v>25</v>
      </c>
      <c r="P207" t="str">
        <f>TEXT(Hospitalitydata[[#This Row],[Booking_Date]],"mmm")</f>
        <v>Jan</v>
      </c>
    </row>
    <row r="208" spans="1:16" x14ac:dyDescent="0.3">
      <c r="A208" t="s">
        <v>550</v>
      </c>
      <c r="B208" t="s">
        <v>171</v>
      </c>
      <c r="C208" t="s">
        <v>471</v>
      </c>
      <c r="D208" t="s">
        <v>291</v>
      </c>
      <c r="E208" t="s">
        <v>30</v>
      </c>
      <c r="F208" t="s">
        <v>20</v>
      </c>
      <c r="G208" t="s">
        <v>32</v>
      </c>
      <c r="H208" t="s">
        <v>63</v>
      </c>
      <c r="I208" t="s">
        <v>33</v>
      </c>
      <c r="J208">
        <v>9000</v>
      </c>
      <c r="K208">
        <v>5</v>
      </c>
      <c r="L208">
        <v>45000</v>
      </c>
      <c r="M208" t="s">
        <v>24</v>
      </c>
      <c r="N208">
        <v>4</v>
      </c>
      <c r="O208" t="s">
        <v>25</v>
      </c>
      <c r="P208" t="str">
        <f>TEXT(Hospitalitydata[[#This Row],[Booking_Date]],"mmm")</f>
        <v>May</v>
      </c>
    </row>
    <row r="209" spans="1:16" x14ac:dyDescent="0.3">
      <c r="A209" t="s">
        <v>551</v>
      </c>
      <c r="B209" t="s">
        <v>373</v>
      </c>
      <c r="C209" t="s">
        <v>230</v>
      </c>
      <c r="D209" t="s">
        <v>282</v>
      </c>
      <c r="E209" t="s">
        <v>43</v>
      </c>
      <c r="F209" t="s">
        <v>31</v>
      </c>
      <c r="G209" t="s">
        <v>21</v>
      </c>
      <c r="H209" t="s">
        <v>45</v>
      </c>
      <c r="I209" t="s">
        <v>46</v>
      </c>
      <c r="J209">
        <v>5500</v>
      </c>
      <c r="K209">
        <v>3</v>
      </c>
      <c r="L209">
        <v>16500</v>
      </c>
      <c r="M209" t="s">
        <v>24</v>
      </c>
      <c r="N209">
        <v>4</v>
      </c>
      <c r="O209" t="s">
        <v>25</v>
      </c>
      <c r="P209" t="str">
        <f>TEXT(Hospitalitydata[[#This Row],[Booking_Date]],"mmm")</f>
        <v>May</v>
      </c>
    </row>
    <row r="210" spans="1:16" x14ac:dyDescent="0.3">
      <c r="A210" t="s">
        <v>552</v>
      </c>
      <c r="B210" t="s">
        <v>333</v>
      </c>
      <c r="C210" t="s">
        <v>553</v>
      </c>
      <c r="D210" t="s">
        <v>148</v>
      </c>
      <c r="E210" t="s">
        <v>37</v>
      </c>
      <c r="F210" t="s">
        <v>31</v>
      </c>
      <c r="G210" t="s">
        <v>21</v>
      </c>
      <c r="H210" t="s">
        <v>22</v>
      </c>
      <c r="I210" t="s">
        <v>23</v>
      </c>
      <c r="J210">
        <v>5500</v>
      </c>
      <c r="K210">
        <v>1</v>
      </c>
      <c r="L210">
        <v>5500</v>
      </c>
      <c r="M210" t="s">
        <v>24</v>
      </c>
      <c r="N210">
        <v>5</v>
      </c>
      <c r="O210" t="s">
        <v>25</v>
      </c>
      <c r="P210" t="str">
        <f>TEXT(Hospitalitydata[[#This Row],[Booking_Date]],"mmm")</f>
        <v>Oct</v>
      </c>
    </row>
    <row r="211" spans="1:16" x14ac:dyDescent="0.3">
      <c r="A211" t="s">
        <v>554</v>
      </c>
      <c r="B211" t="s">
        <v>106</v>
      </c>
      <c r="C211" t="s">
        <v>555</v>
      </c>
      <c r="D211" t="s">
        <v>77</v>
      </c>
      <c r="E211" t="s">
        <v>30</v>
      </c>
      <c r="F211" t="s">
        <v>87</v>
      </c>
      <c r="G211" t="s">
        <v>32</v>
      </c>
      <c r="H211" t="s">
        <v>45</v>
      </c>
      <c r="I211" t="s">
        <v>38</v>
      </c>
      <c r="J211">
        <v>4500</v>
      </c>
      <c r="K211">
        <v>4</v>
      </c>
      <c r="L211">
        <v>18000</v>
      </c>
      <c r="M211" t="s">
        <v>24</v>
      </c>
      <c r="N211">
        <v>4</v>
      </c>
      <c r="O211" t="s">
        <v>25</v>
      </c>
      <c r="P211" t="str">
        <f>TEXT(Hospitalitydata[[#This Row],[Booking_Date]],"mmm")</f>
        <v>Mar</v>
      </c>
    </row>
    <row r="212" spans="1:16" x14ac:dyDescent="0.3">
      <c r="A212" t="s">
        <v>556</v>
      </c>
      <c r="B212" t="s">
        <v>162</v>
      </c>
      <c r="C212" t="s">
        <v>114</v>
      </c>
      <c r="D212" t="s">
        <v>272</v>
      </c>
      <c r="E212" t="s">
        <v>127</v>
      </c>
      <c r="F212" t="s">
        <v>31</v>
      </c>
      <c r="G212" t="s">
        <v>44</v>
      </c>
      <c r="H212" t="s">
        <v>45</v>
      </c>
      <c r="I212" t="s">
        <v>33</v>
      </c>
      <c r="J212">
        <v>2500</v>
      </c>
      <c r="K212">
        <v>1</v>
      </c>
      <c r="L212">
        <v>2500</v>
      </c>
      <c r="M212" t="s">
        <v>24</v>
      </c>
      <c r="N212">
        <v>4</v>
      </c>
      <c r="O212" t="s">
        <v>25</v>
      </c>
      <c r="P212" t="str">
        <f>TEXT(Hospitalitydata[[#This Row],[Booking_Date]],"mmm")</f>
        <v>Sep</v>
      </c>
    </row>
    <row r="213" spans="1:16" x14ac:dyDescent="0.3">
      <c r="A213" t="s">
        <v>557</v>
      </c>
      <c r="B213" t="s">
        <v>204</v>
      </c>
      <c r="C213" t="s">
        <v>558</v>
      </c>
      <c r="D213" t="s">
        <v>354</v>
      </c>
      <c r="E213" t="s">
        <v>37</v>
      </c>
      <c r="F213" t="s">
        <v>31</v>
      </c>
      <c r="G213" t="s">
        <v>44</v>
      </c>
      <c r="H213" t="s">
        <v>22</v>
      </c>
      <c r="I213" t="s">
        <v>38</v>
      </c>
      <c r="J213">
        <v>4500</v>
      </c>
      <c r="K213">
        <v>5</v>
      </c>
      <c r="L213">
        <v>22500</v>
      </c>
      <c r="M213" t="s">
        <v>24</v>
      </c>
      <c r="N213">
        <v>5</v>
      </c>
      <c r="O213" t="s">
        <v>25</v>
      </c>
      <c r="P213" t="str">
        <f>TEXT(Hospitalitydata[[#This Row],[Booking_Date]],"mmm")</f>
        <v>Jun</v>
      </c>
    </row>
    <row r="214" spans="1:16" x14ac:dyDescent="0.3">
      <c r="A214" t="s">
        <v>559</v>
      </c>
      <c r="B214" t="s">
        <v>519</v>
      </c>
      <c r="C214" t="s">
        <v>560</v>
      </c>
      <c r="D214" t="s">
        <v>449</v>
      </c>
      <c r="E214" t="s">
        <v>37</v>
      </c>
      <c r="F214" t="s">
        <v>20</v>
      </c>
      <c r="G214" t="s">
        <v>44</v>
      </c>
      <c r="H214" t="s">
        <v>22</v>
      </c>
      <c r="I214" t="s">
        <v>46</v>
      </c>
      <c r="J214">
        <v>5500</v>
      </c>
      <c r="K214">
        <v>3</v>
      </c>
      <c r="L214">
        <v>16500</v>
      </c>
      <c r="M214" t="s">
        <v>24</v>
      </c>
      <c r="N214">
        <v>4</v>
      </c>
      <c r="O214" t="s">
        <v>25</v>
      </c>
      <c r="P214" t="str">
        <f>TEXT(Hospitalitydata[[#This Row],[Booking_Date]],"mmm")</f>
        <v>Dec</v>
      </c>
    </row>
    <row r="215" spans="1:16" x14ac:dyDescent="0.3">
      <c r="A215" t="s">
        <v>561</v>
      </c>
      <c r="B215" t="s">
        <v>66</v>
      </c>
      <c r="C215" t="s">
        <v>151</v>
      </c>
      <c r="D215" t="s">
        <v>193</v>
      </c>
      <c r="E215" t="s">
        <v>30</v>
      </c>
      <c r="F215" t="s">
        <v>31</v>
      </c>
      <c r="G215" t="s">
        <v>32</v>
      </c>
      <c r="H215" t="s">
        <v>22</v>
      </c>
      <c r="I215" t="s">
        <v>23</v>
      </c>
      <c r="J215">
        <v>7000</v>
      </c>
      <c r="K215">
        <v>1</v>
      </c>
      <c r="L215">
        <v>7000</v>
      </c>
      <c r="M215" t="s">
        <v>24</v>
      </c>
      <c r="N215">
        <v>5</v>
      </c>
      <c r="O215" t="s">
        <v>25</v>
      </c>
      <c r="P215" t="str">
        <f>TEXT(Hospitalitydata[[#This Row],[Booking_Date]],"mmm")</f>
        <v>Dec</v>
      </c>
    </row>
    <row r="216" spans="1:16" x14ac:dyDescent="0.3">
      <c r="A216" t="s">
        <v>562</v>
      </c>
      <c r="B216" t="s">
        <v>381</v>
      </c>
      <c r="C216" t="s">
        <v>563</v>
      </c>
      <c r="D216" t="s">
        <v>28</v>
      </c>
      <c r="E216" t="s">
        <v>127</v>
      </c>
      <c r="F216" t="s">
        <v>62</v>
      </c>
      <c r="G216" t="s">
        <v>21</v>
      </c>
      <c r="H216" t="s">
        <v>45</v>
      </c>
      <c r="I216" t="s">
        <v>23</v>
      </c>
      <c r="J216">
        <v>7000</v>
      </c>
      <c r="K216">
        <v>2</v>
      </c>
      <c r="L216">
        <v>14000</v>
      </c>
      <c r="M216" t="s">
        <v>24</v>
      </c>
      <c r="N216">
        <v>5</v>
      </c>
      <c r="O216" t="s">
        <v>25</v>
      </c>
      <c r="P216" t="str">
        <f>TEXT(Hospitalitydata[[#This Row],[Booking_Date]],"mmm")</f>
        <v>Oct</v>
      </c>
    </row>
    <row r="217" spans="1:16" x14ac:dyDescent="0.3">
      <c r="A217" t="s">
        <v>564</v>
      </c>
      <c r="B217" t="s">
        <v>553</v>
      </c>
      <c r="C217" t="s">
        <v>28</v>
      </c>
      <c r="D217" t="s">
        <v>29</v>
      </c>
      <c r="E217" t="s">
        <v>127</v>
      </c>
      <c r="F217" t="s">
        <v>62</v>
      </c>
      <c r="G217" t="s">
        <v>44</v>
      </c>
      <c r="H217" t="s">
        <v>22</v>
      </c>
      <c r="I217" t="s">
        <v>33</v>
      </c>
      <c r="J217">
        <v>3500</v>
      </c>
      <c r="K217">
        <v>1</v>
      </c>
      <c r="L217">
        <v>3500</v>
      </c>
      <c r="M217" t="s">
        <v>24</v>
      </c>
      <c r="N217">
        <v>4</v>
      </c>
      <c r="O217" t="s">
        <v>25</v>
      </c>
      <c r="P217" t="str">
        <f>TEXT(Hospitalitydata[[#This Row],[Booking_Date]],"mmm")</f>
        <v>Oct</v>
      </c>
    </row>
    <row r="218" spans="1:16" x14ac:dyDescent="0.3">
      <c r="A218" t="s">
        <v>565</v>
      </c>
      <c r="B218" t="s">
        <v>277</v>
      </c>
      <c r="C218" t="s">
        <v>359</v>
      </c>
      <c r="D218" t="s">
        <v>139</v>
      </c>
      <c r="E218" t="s">
        <v>19</v>
      </c>
      <c r="F218" t="s">
        <v>31</v>
      </c>
      <c r="G218" t="s">
        <v>32</v>
      </c>
      <c r="H218" t="s">
        <v>22</v>
      </c>
      <c r="I218" t="s">
        <v>46</v>
      </c>
      <c r="J218">
        <v>7000</v>
      </c>
      <c r="K218">
        <v>7</v>
      </c>
      <c r="L218">
        <v>49000</v>
      </c>
      <c r="M218" t="s">
        <v>47</v>
      </c>
      <c r="N218">
        <v>1</v>
      </c>
      <c r="O218" t="s">
        <v>48</v>
      </c>
      <c r="P218" t="str">
        <f>TEXT(Hospitalitydata[[#This Row],[Booking_Date]],"mmm")</f>
        <v>Jul</v>
      </c>
    </row>
    <row r="219" spans="1:16" x14ac:dyDescent="0.3">
      <c r="A219" t="s">
        <v>566</v>
      </c>
      <c r="B219" t="s">
        <v>164</v>
      </c>
      <c r="C219" t="s">
        <v>35</v>
      </c>
      <c r="D219" t="s">
        <v>36</v>
      </c>
      <c r="E219" t="s">
        <v>127</v>
      </c>
      <c r="F219" t="s">
        <v>31</v>
      </c>
      <c r="G219" t="s">
        <v>44</v>
      </c>
      <c r="H219" t="s">
        <v>22</v>
      </c>
      <c r="I219" t="s">
        <v>46</v>
      </c>
      <c r="J219">
        <v>5500</v>
      </c>
      <c r="K219">
        <v>5</v>
      </c>
      <c r="L219">
        <v>27500</v>
      </c>
      <c r="M219" t="s">
        <v>24</v>
      </c>
      <c r="N219">
        <v>3</v>
      </c>
      <c r="O219" t="s">
        <v>25</v>
      </c>
      <c r="P219" t="str">
        <f>TEXT(Hospitalitydata[[#This Row],[Booking_Date]],"mmm")</f>
        <v>Dec</v>
      </c>
    </row>
    <row r="220" spans="1:16" x14ac:dyDescent="0.3">
      <c r="A220" t="s">
        <v>567</v>
      </c>
      <c r="B220" t="s">
        <v>226</v>
      </c>
      <c r="C220" t="s">
        <v>314</v>
      </c>
      <c r="D220" t="s">
        <v>90</v>
      </c>
      <c r="E220" t="s">
        <v>37</v>
      </c>
      <c r="F220" t="s">
        <v>31</v>
      </c>
      <c r="G220" t="s">
        <v>44</v>
      </c>
      <c r="H220" t="s">
        <v>45</v>
      </c>
      <c r="I220" t="s">
        <v>33</v>
      </c>
      <c r="J220">
        <v>9000</v>
      </c>
      <c r="K220">
        <v>7</v>
      </c>
      <c r="L220">
        <v>63000</v>
      </c>
      <c r="M220" t="s">
        <v>24</v>
      </c>
      <c r="N220">
        <v>5</v>
      </c>
      <c r="O220" t="s">
        <v>25</v>
      </c>
      <c r="P220" t="str">
        <f>TEXT(Hospitalitydata[[#This Row],[Booking_Date]],"mmm")</f>
        <v>Dec</v>
      </c>
    </row>
    <row r="221" spans="1:16" x14ac:dyDescent="0.3">
      <c r="A221" t="s">
        <v>568</v>
      </c>
      <c r="B221" t="s">
        <v>498</v>
      </c>
      <c r="C221" t="s">
        <v>471</v>
      </c>
      <c r="D221" t="s">
        <v>569</v>
      </c>
      <c r="E221" t="s">
        <v>37</v>
      </c>
      <c r="F221" t="s">
        <v>62</v>
      </c>
      <c r="G221" t="s">
        <v>21</v>
      </c>
      <c r="H221" t="s">
        <v>22</v>
      </c>
      <c r="I221" t="s">
        <v>38</v>
      </c>
      <c r="J221">
        <v>3500</v>
      </c>
      <c r="K221">
        <v>3</v>
      </c>
      <c r="L221">
        <v>10500</v>
      </c>
      <c r="M221" t="s">
        <v>47</v>
      </c>
      <c r="N221">
        <v>3</v>
      </c>
      <c r="O221" t="s">
        <v>48</v>
      </c>
      <c r="P221" t="str">
        <f>TEXT(Hospitalitydata[[#This Row],[Booking_Date]],"mmm")</f>
        <v>May</v>
      </c>
    </row>
    <row r="222" spans="1:16" x14ac:dyDescent="0.3">
      <c r="A222" t="s">
        <v>570</v>
      </c>
      <c r="B222" t="s">
        <v>282</v>
      </c>
      <c r="C222" t="s">
        <v>259</v>
      </c>
      <c r="D222" t="s">
        <v>179</v>
      </c>
      <c r="E222" t="s">
        <v>37</v>
      </c>
      <c r="F222" t="s">
        <v>20</v>
      </c>
      <c r="G222" t="s">
        <v>21</v>
      </c>
      <c r="H222" t="s">
        <v>22</v>
      </c>
      <c r="I222" t="s">
        <v>38</v>
      </c>
      <c r="J222">
        <v>7000</v>
      </c>
      <c r="K222">
        <v>3</v>
      </c>
      <c r="L222">
        <v>21000</v>
      </c>
      <c r="M222" t="s">
        <v>47</v>
      </c>
      <c r="N222">
        <v>3</v>
      </c>
      <c r="O222" t="s">
        <v>48</v>
      </c>
      <c r="P222" t="str">
        <f>TEXT(Hospitalitydata[[#This Row],[Booking_Date]],"mmm")</f>
        <v>Jun</v>
      </c>
    </row>
    <row r="223" spans="1:16" x14ac:dyDescent="0.3">
      <c r="A223" t="s">
        <v>571</v>
      </c>
      <c r="B223" t="s">
        <v>354</v>
      </c>
      <c r="C223" t="s">
        <v>418</v>
      </c>
      <c r="D223" t="s">
        <v>572</v>
      </c>
      <c r="E223" t="s">
        <v>43</v>
      </c>
      <c r="F223" t="s">
        <v>87</v>
      </c>
      <c r="G223" t="s">
        <v>44</v>
      </c>
      <c r="H223" t="s">
        <v>22</v>
      </c>
      <c r="I223" t="s">
        <v>46</v>
      </c>
      <c r="J223">
        <v>3500</v>
      </c>
      <c r="K223">
        <v>3</v>
      </c>
      <c r="L223">
        <v>10500</v>
      </c>
      <c r="M223" t="s">
        <v>24</v>
      </c>
      <c r="N223">
        <v>4</v>
      </c>
      <c r="O223" t="s">
        <v>25</v>
      </c>
      <c r="P223" t="str">
        <f>TEXT(Hospitalitydata[[#This Row],[Booking_Date]],"mmm")</f>
        <v>Jul</v>
      </c>
    </row>
    <row r="224" spans="1:16" x14ac:dyDescent="0.3">
      <c r="A224" t="s">
        <v>573</v>
      </c>
      <c r="B224" t="s">
        <v>574</v>
      </c>
      <c r="C224" t="s">
        <v>71</v>
      </c>
      <c r="D224" t="s">
        <v>575</v>
      </c>
      <c r="E224" t="s">
        <v>37</v>
      </c>
      <c r="F224" t="s">
        <v>62</v>
      </c>
      <c r="G224" t="s">
        <v>32</v>
      </c>
      <c r="H224" t="s">
        <v>22</v>
      </c>
      <c r="I224" t="s">
        <v>33</v>
      </c>
      <c r="J224">
        <v>7000</v>
      </c>
      <c r="K224">
        <v>2</v>
      </c>
      <c r="L224">
        <v>14000</v>
      </c>
      <c r="M224" t="s">
        <v>24</v>
      </c>
      <c r="N224">
        <v>5</v>
      </c>
      <c r="O224" t="s">
        <v>25</v>
      </c>
      <c r="P224" t="str">
        <f>TEXT(Hospitalitydata[[#This Row],[Booking_Date]],"mmm")</f>
        <v>Sep</v>
      </c>
    </row>
    <row r="225" spans="1:16" x14ac:dyDescent="0.3">
      <c r="A225" t="s">
        <v>576</v>
      </c>
      <c r="B225" t="s">
        <v>577</v>
      </c>
      <c r="C225" t="s">
        <v>253</v>
      </c>
      <c r="D225" t="s">
        <v>228</v>
      </c>
      <c r="E225" t="s">
        <v>43</v>
      </c>
      <c r="F225" t="s">
        <v>20</v>
      </c>
      <c r="G225" t="s">
        <v>44</v>
      </c>
      <c r="H225" t="s">
        <v>63</v>
      </c>
      <c r="I225" t="s">
        <v>38</v>
      </c>
      <c r="J225">
        <v>7000</v>
      </c>
      <c r="K225">
        <v>6</v>
      </c>
      <c r="L225">
        <v>42000</v>
      </c>
      <c r="M225" t="s">
        <v>24</v>
      </c>
      <c r="N225">
        <v>3</v>
      </c>
      <c r="O225" t="s">
        <v>25</v>
      </c>
      <c r="P225" t="str">
        <f>TEXT(Hospitalitydata[[#This Row],[Booking_Date]],"mmm")</f>
        <v>May</v>
      </c>
    </row>
    <row r="226" spans="1:16" x14ac:dyDescent="0.3">
      <c r="A226" t="s">
        <v>578</v>
      </c>
      <c r="B226" t="s">
        <v>137</v>
      </c>
      <c r="C226" t="s">
        <v>77</v>
      </c>
      <c r="D226" t="s">
        <v>532</v>
      </c>
      <c r="E226" t="s">
        <v>19</v>
      </c>
      <c r="F226" t="s">
        <v>53</v>
      </c>
      <c r="G226" t="s">
        <v>21</v>
      </c>
      <c r="H226" t="s">
        <v>63</v>
      </c>
      <c r="I226" t="s">
        <v>38</v>
      </c>
      <c r="J226">
        <v>3500</v>
      </c>
      <c r="K226">
        <v>7</v>
      </c>
      <c r="L226">
        <v>24500</v>
      </c>
      <c r="M226" t="s">
        <v>24</v>
      </c>
      <c r="N226">
        <v>5</v>
      </c>
      <c r="O226" t="s">
        <v>25</v>
      </c>
      <c r="P226" t="str">
        <f>TEXT(Hospitalitydata[[#This Row],[Booking_Date]],"mmm")</f>
        <v>Feb</v>
      </c>
    </row>
    <row r="227" spans="1:16" x14ac:dyDescent="0.3">
      <c r="A227" t="s">
        <v>579</v>
      </c>
      <c r="B227" t="s">
        <v>539</v>
      </c>
      <c r="C227" t="s">
        <v>225</v>
      </c>
      <c r="D227" t="s">
        <v>192</v>
      </c>
      <c r="E227" t="s">
        <v>43</v>
      </c>
      <c r="F227" t="s">
        <v>20</v>
      </c>
      <c r="G227" t="s">
        <v>21</v>
      </c>
      <c r="H227" t="s">
        <v>22</v>
      </c>
      <c r="I227" t="s">
        <v>33</v>
      </c>
      <c r="J227">
        <v>4500</v>
      </c>
      <c r="K227">
        <v>7</v>
      </c>
      <c r="L227">
        <v>31500</v>
      </c>
      <c r="M227" t="s">
        <v>24</v>
      </c>
      <c r="N227">
        <v>5</v>
      </c>
      <c r="O227" t="s">
        <v>25</v>
      </c>
      <c r="P227" t="str">
        <f>TEXT(Hospitalitydata[[#This Row],[Booking_Date]],"mmm")</f>
        <v>Nov</v>
      </c>
    </row>
    <row r="228" spans="1:16" x14ac:dyDescent="0.3">
      <c r="A228" t="s">
        <v>580</v>
      </c>
      <c r="B228" t="s">
        <v>476</v>
      </c>
      <c r="C228" t="s">
        <v>319</v>
      </c>
      <c r="D228" t="s">
        <v>581</v>
      </c>
      <c r="E228" t="s">
        <v>127</v>
      </c>
      <c r="F228" t="s">
        <v>62</v>
      </c>
      <c r="G228" t="s">
        <v>32</v>
      </c>
      <c r="H228" t="s">
        <v>63</v>
      </c>
      <c r="I228" t="s">
        <v>38</v>
      </c>
      <c r="J228">
        <v>2500</v>
      </c>
      <c r="K228">
        <v>6</v>
      </c>
      <c r="L228">
        <v>15000</v>
      </c>
      <c r="M228" t="s">
        <v>47</v>
      </c>
      <c r="N228">
        <v>2</v>
      </c>
      <c r="O228" t="s">
        <v>48</v>
      </c>
      <c r="P228" t="str">
        <f>TEXT(Hospitalitydata[[#This Row],[Booking_Date]],"mmm")</f>
        <v>Oct</v>
      </c>
    </row>
    <row r="229" spans="1:16" x14ac:dyDescent="0.3">
      <c r="A229" t="s">
        <v>582</v>
      </c>
      <c r="B229" t="s">
        <v>157</v>
      </c>
      <c r="C229" t="s">
        <v>583</v>
      </c>
      <c r="D229" t="s">
        <v>508</v>
      </c>
      <c r="E229" t="s">
        <v>37</v>
      </c>
      <c r="F229" t="s">
        <v>31</v>
      </c>
      <c r="G229" t="s">
        <v>21</v>
      </c>
      <c r="H229" t="s">
        <v>45</v>
      </c>
      <c r="I229" t="s">
        <v>46</v>
      </c>
      <c r="J229">
        <v>4500</v>
      </c>
      <c r="K229">
        <v>6</v>
      </c>
      <c r="L229">
        <v>27000</v>
      </c>
      <c r="M229" t="s">
        <v>47</v>
      </c>
      <c r="N229">
        <v>1</v>
      </c>
      <c r="O229" t="s">
        <v>48</v>
      </c>
      <c r="P229" t="str">
        <f>TEXT(Hospitalitydata[[#This Row],[Booking_Date]],"mmm")</f>
        <v>Apr</v>
      </c>
    </row>
    <row r="230" spans="1:16" x14ac:dyDescent="0.3">
      <c r="A230" t="s">
        <v>584</v>
      </c>
      <c r="B230" t="s">
        <v>470</v>
      </c>
      <c r="C230" t="s">
        <v>471</v>
      </c>
      <c r="D230" t="s">
        <v>335</v>
      </c>
      <c r="E230" t="s">
        <v>30</v>
      </c>
      <c r="F230" t="s">
        <v>53</v>
      </c>
      <c r="G230" t="s">
        <v>44</v>
      </c>
      <c r="H230" t="s">
        <v>45</v>
      </c>
      <c r="I230" t="s">
        <v>23</v>
      </c>
      <c r="J230">
        <v>7000</v>
      </c>
      <c r="K230">
        <v>6</v>
      </c>
      <c r="L230">
        <v>42000</v>
      </c>
      <c r="M230" t="s">
        <v>24</v>
      </c>
      <c r="N230">
        <v>3</v>
      </c>
      <c r="O230" t="s">
        <v>25</v>
      </c>
      <c r="P230" t="str">
        <f>TEXT(Hospitalitydata[[#This Row],[Booking_Date]],"mmm")</f>
        <v>May</v>
      </c>
    </row>
    <row r="231" spans="1:16" x14ac:dyDescent="0.3">
      <c r="A231" t="s">
        <v>585</v>
      </c>
      <c r="B231" t="s">
        <v>586</v>
      </c>
      <c r="C231" t="s">
        <v>166</v>
      </c>
      <c r="D231" t="s">
        <v>179</v>
      </c>
      <c r="E231" t="s">
        <v>19</v>
      </c>
      <c r="F231" t="s">
        <v>20</v>
      </c>
      <c r="G231" t="s">
        <v>21</v>
      </c>
      <c r="H231" t="s">
        <v>63</v>
      </c>
      <c r="I231" t="s">
        <v>46</v>
      </c>
      <c r="J231">
        <v>5500</v>
      </c>
      <c r="K231">
        <v>6</v>
      </c>
      <c r="L231">
        <v>33000</v>
      </c>
      <c r="M231" t="s">
        <v>24</v>
      </c>
      <c r="N231">
        <v>5</v>
      </c>
      <c r="O231" t="s">
        <v>25</v>
      </c>
      <c r="P231" t="str">
        <f>TEXT(Hospitalitydata[[#This Row],[Booking_Date]],"mmm")</f>
        <v>Jun</v>
      </c>
    </row>
    <row r="232" spans="1:16" x14ac:dyDescent="0.3">
      <c r="A232" t="s">
        <v>587</v>
      </c>
      <c r="B232" t="s">
        <v>588</v>
      </c>
      <c r="C232" t="s">
        <v>86</v>
      </c>
      <c r="D232" t="s">
        <v>317</v>
      </c>
      <c r="E232" t="s">
        <v>127</v>
      </c>
      <c r="F232" t="s">
        <v>53</v>
      </c>
      <c r="G232" t="s">
        <v>21</v>
      </c>
      <c r="H232" t="s">
        <v>63</v>
      </c>
      <c r="I232" t="s">
        <v>23</v>
      </c>
      <c r="J232">
        <v>3500</v>
      </c>
      <c r="K232">
        <v>7</v>
      </c>
      <c r="L232">
        <v>24500</v>
      </c>
      <c r="M232" t="s">
        <v>24</v>
      </c>
      <c r="N232">
        <v>5</v>
      </c>
      <c r="O232" t="s">
        <v>25</v>
      </c>
      <c r="P232" t="str">
        <f>TEXT(Hospitalitydata[[#This Row],[Booking_Date]],"mmm")</f>
        <v>Oct</v>
      </c>
    </row>
    <row r="233" spans="1:16" x14ac:dyDescent="0.3">
      <c r="A233" t="s">
        <v>589</v>
      </c>
      <c r="B233" t="s">
        <v>73</v>
      </c>
      <c r="C233" t="s">
        <v>359</v>
      </c>
      <c r="D233" t="s">
        <v>445</v>
      </c>
      <c r="E233" t="s">
        <v>37</v>
      </c>
      <c r="F233" t="s">
        <v>62</v>
      </c>
      <c r="G233" t="s">
        <v>32</v>
      </c>
      <c r="H233" t="s">
        <v>63</v>
      </c>
      <c r="I233" t="s">
        <v>38</v>
      </c>
      <c r="J233">
        <v>3500</v>
      </c>
      <c r="K233">
        <v>1</v>
      </c>
      <c r="L233">
        <v>3500</v>
      </c>
      <c r="M233" t="s">
        <v>47</v>
      </c>
      <c r="N233">
        <v>4</v>
      </c>
      <c r="O233" t="s">
        <v>48</v>
      </c>
      <c r="P233" t="str">
        <f>TEXT(Hospitalitydata[[#This Row],[Booking_Date]],"mmm")</f>
        <v>Jul</v>
      </c>
    </row>
    <row r="234" spans="1:16" x14ac:dyDescent="0.3">
      <c r="A234" t="s">
        <v>590</v>
      </c>
      <c r="B234" t="s">
        <v>356</v>
      </c>
      <c r="C234" t="s">
        <v>373</v>
      </c>
      <c r="D234" t="s">
        <v>498</v>
      </c>
      <c r="E234" t="s">
        <v>30</v>
      </c>
      <c r="F234" t="s">
        <v>31</v>
      </c>
      <c r="G234" t="s">
        <v>32</v>
      </c>
      <c r="H234" t="s">
        <v>63</v>
      </c>
      <c r="I234" t="s">
        <v>46</v>
      </c>
      <c r="J234">
        <v>4500</v>
      </c>
      <c r="K234">
        <v>7</v>
      </c>
      <c r="L234">
        <v>31500</v>
      </c>
      <c r="M234" t="s">
        <v>47</v>
      </c>
      <c r="N234">
        <v>3</v>
      </c>
      <c r="O234" t="s">
        <v>48</v>
      </c>
      <c r="P234" t="str">
        <f>TEXT(Hospitalitydata[[#This Row],[Booking_Date]],"mmm")</f>
        <v>May</v>
      </c>
    </row>
    <row r="235" spans="1:16" x14ac:dyDescent="0.3">
      <c r="A235" t="s">
        <v>591</v>
      </c>
      <c r="B235" t="s">
        <v>269</v>
      </c>
      <c r="C235" t="s">
        <v>519</v>
      </c>
      <c r="D235" t="s">
        <v>448</v>
      </c>
      <c r="E235" t="s">
        <v>19</v>
      </c>
      <c r="F235" t="s">
        <v>53</v>
      </c>
      <c r="G235" t="s">
        <v>21</v>
      </c>
      <c r="H235" t="s">
        <v>22</v>
      </c>
      <c r="I235" t="s">
        <v>46</v>
      </c>
      <c r="J235">
        <v>9000</v>
      </c>
      <c r="K235">
        <v>1</v>
      </c>
      <c r="L235">
        <v>9000</v>
      </c>
      <c r="M235" t="s">
        <v>24</v>
      </c>
      <c r="N235">
        <v>4</v>
      </c>
      <c r="O235" t="s">
        <v>25</v>
      </c>
      <c r="P235" t="str">
        <f>TEXT(Hospitalitydata[[#This Row],[Booking_Date]],"mmm")</f>
        <v>Dec</v>
      </c>
    </row>
    <row r="236" spans="1:16" x14ac:dyDescent="0.3">
      <c r="A236" t="s">
        <v>592</v>
      </c>
      <c r="B236" t="s">
        <v>393</v>
      </c>
      <c r="C236" t="s">
        <v>537</v>
      </c>
      <c r="D236" t="s">
        <v>448</v>
      </c>
      <c r="E236" t="s">
        <v>19</v>
      </c>
      <c r="F236" t="s">
        <v>62</v>
      </c>
      <c r="G236" t="s">
        <v>44</v>
      </c>
      <c r="H236" t="s">
        <v>45</v>
      </c>
      <c r="I236" t="s">
        <v>38</v>
      </c>
      <c r="J236">
        <v>4500</v>
      </c>
      <c r="K236">
        <v>6</v>
      </c>
      <c r="L236">
        <v>27000</v>
      </c>
      <c r="M236" t="s">
        <v>24</v>
      </c>
      <c r="N236">
        <v>3</v>
      </c>
      <c r="O236" t="s">
        <v>25</v>
      </c>
      <c r="P236" t="str">
        <f>TEXT(Hospitalitydata[[#This Row],[Booking_Date]],"mmm")</f>
        <v>Dec</v>
      </c>
    </row>
    <row r="237" spans="1:16" x14ac:dyDescent="0.3">
      <c r="A237" t="s">
        <v>593</v>
      </c>
      <c r="B237" t="s">
        <v>118</v>
      </c>
      <c r="C237" t="s">
        <v>300</v>
      </c>
      <c r="D237" t="s">
        <v>297</v>
      </c>
      <c r="E237" t="s">
        <v>30</v>
      </c>
      <c r="F237" t="s">
        <v>62</v>
      </c>
      <c r="G237" t="s">
        <v>32</v>
      </c>
      <c r="H237" t="s">
        <v>22</v>
      </c>
      <c r="I237" t="s">
        <v>23</v>
      </c>
      <c r="J237">
        <v>9000</v>
      </c>
      <c r="K237">
        <v>4</v>
      </c>
      <c r="L237">
        <v>36000</v>
      </c>
      <c r="M237" t="s">
        <v>24</v>
      </c>
      <c r="N237">
        <v>4</v>
      </c>
      <c r="O237" t="s">
        <v>25</v>
      </c>
      <c r="P237" t="str">
        <f>TEXT(Hospitalitydata[[#This Row],[Booking_Date]],"mmm")</f>
        <v>Nov</v>
      </c>
    </row>
    <row r="238" spans="1:16" x14ac:dyDescent="0.3">
      <c r="A238" t="s">
        <v>594</v>
      </c>
      <c r="B238" t="s">
        <v>595</v>
      </c>
      <c r="C238" t="s">
        <v>483</v>
      </c>
      <c r="D238" t="s">
        <v>133</v>
      </c>
      <c r="E238" t="s">
        <v>43</v>
      </c>
      <c r="F238" t="s">
        <v>20</v>
      </c>
      <c r="G238" t="s">
        <v>21</v>
      </c>
      <c r="H238" t="s">
        <v>22</v>
      </c>
      <c r="I238" t="s">
        <v>33</v>
      </c>
      <c r="J238">
        <v>9000</v>
      </c>
      <c r="K238">
        <v>5</v>
      </c>
      <c r="L238">
        <v>45000</v>
      </c>
      <c r="M238" t="s">
        <v>24</v>
      </c>
      <c r="N238">
        <v>5</v>
      </c>
      <c r="O238" t="s">
        <v>25</v>
      </c>
      <c r="P238" t="str">
        <f>TEXT(Hospitalitydata[[#This Row],[Booking_Date]],"mmm")</f>
        <v>Sep</v>
      </c>
    </row>
    <row r="239" spans="1:16" x14ac:dyDescent="0.3">
      <c r="A239" t="s">
        <v>596</v>
      </c>
      <c r="B239" t="s">
        <v>553</v>
      </c>
      <c r="C239" t="s">
        <v>413</v>
      </c>
      <c r="D239" t="s">
        <v>224</v>
      </c>
      <c r="E239" t="s">
        <v>127</v>
      </c>
      <c r="F239" t="s">
        <v>20</v>
      </c>
      <c r="G239" t="s">
        <v>21</v>
      </c>
      <c r="H239" t="s">
        <v>45</v>
      </c>
      <c r="I239" t="s">
        <v>38</v>
      </c>
      <c r="J239">
        <v>3500</v>
      </c>
      <c r="K239">
        <v>2</v>
      </c>
      <c r="L239">
        <v>7000</v>
      </c>
      <c r="M239" t="s">
        <v>24</v>
      </c>
      <c r="N239">
        <v>5</v>
      </c>
      <c r="O239" t="s">
        <v>25</v>
      </c>
      <c r="P239" t="str">
        <f>TEXT(Hospitalitydata[[#This Row],[Booking_Date]],"mmm")</f>
        <v>Oct</v>
      </c>
    </row>
    <row r="240" spans="1:16" x14ac:dyDescent="0.3">
      <c r="A240" t="s">
        <v>597</v>
      </c>
      <c r="B240" t="s">
        <v>136</v>
      </c>
      <c r="C240" t="s">
        <v>196</v>
      </c>
      <c r="D240" t="s">
        <v>532</v>
      </c>
      <c r="E240" t="s">
        <v>19</v>
      </c>
      <c r="F240" t="s">
        <v>31</v>
      </c>
      <c r="G240" t="s">
        <v>44</v>
      </c>
      <c r="H240" t="s">
        <v>63</v>
      </c>
      <c r="I240" t="s">
        <v>23</v>
      </c>
      <c r="J240">
        <v>5500</v>
      </c>
      <c r="K240">
        <v>5</v>
      </c>
      <c r="L240">
        <v>27500</v>
      </c>
      <c r="M240" t="s">
        <v>24</v>
      </c>
      <c r="N240">
        <v>4</v>
      </c>
      <c r="O240" t="s">
        <v>25</v>
      </c>
      <c r="P240" t="str">
        <f>TEXT(Hospitalitydata[[#This Row],[Booking_Date]],"mmm")</f>
        <v>Feb</v>
      </c>
    </row>
    <row r="241" spans="1:16" x14ac:dyDescent="0.3">
      <c r="A241" t="s">
        <v>598</v>
      </c>
      <c r="B241" t="s">
        <v>599</v>
      </c>
      <c r="C241" t="s">
        <v>116</v>
      </c>
      <c r="D241" t="s">
        <v>600</v>
      </c>
      <c r="E241" t="s">
        <v>37</v>
      </c>
      <c r="F241" t="s">
        <v>20</v>
      </c>
      <c r="G241" t="s">
        <v>21</v>
      </c>
      <c r="H241" t="s">
        <v>45</v>
      </c>
      <c r="I241" t="s">
        <v>23</v>
      </c>
      <c r="J241">
        <v>4500</v>
      </c>
      <c r="K241">
        <v>6</v>
      </c>
      <c r="L241">
        <v>27000</v>
      </c>
      <c r="M241" t="s">
        <v>24</v>
      </c>
      <c r="N241">
        <v>4</v>
      </c>
      <c r="O241" t="s">
        <v>25</v>
      </c>
      <c r="P241" t="str">
        <f>TEXT(Hospitalitydata[[#This Row],[Booking_Date]],"mmm")</f>
        <v>Oct</v>
      </c>
    </row>
    <row r="242" spans="1:16" x14ac:dyDescent="0.3">
      <c r="A242" t="s">
        <v>601</v>
      </c>
      <c r="B242" t="s">
        <v>370</v>
      </c>
      <c r="C242" t="s">
        <v>159</v>
      </c>
      <c r="D242" t="s">
        <v>59</v>
      </c>
      <c r="E242" t="s">
        <v>43</v>
      </c>
      <c r="F242" t="s">
        <v>53</v>
      </c>
      <c r="G242" t="s">
        <v>32</v>
      </c>
      <c r="H242" t="s">
        <v>63</v>
      </c>
      <c r="I242" t="s">
        <v>38</v>
      </c>
      <c r="J242">
        <v>9000</v>
      </c>
      <c r="K242">
        <v>3</v>
      </c>
      <c r="L242">
        <v>27000</v>
      </c>
      <c r="M242" t="s">
        <v>24</v>
      </c>
      <c r="N242">
        <v>3</v>
      </c>
      <c r="O242" t="s">
        <v>25</v>
      </c>
      <c r="P242" t="str">
        <f>TEXT(Hospitalitydata[[#This Row],[Booking_Date]],"mmm")</f>
        <v>Jan</v>
      </c>
    </row>
    <row r="243" spans="1:16" x14ac:dyDescent="0.3">
      <c r="A243" t="s">
        <v>602</v>
      </c>
      <c r="B243" t="s">
        <v>431</v>
      </c>
      <c r="C243" t="s">
        <v>603</v>
      </c>
      <c r="D243" t="s">
        <v>401</v>
      </c>
      <c r="E243" t="s">
        <v>37</v>
      </c>
      <c r="F243" t="s">
        <v>53</v>
      </c>
      <c r="G243" t="s">
        <v>44</v>
      </c>
      <c r="H243" t="s">
        <v>63</v>
      </c>
      <c r="I243" t="s">
        <v>38</v>
      </c>
      <c r="J243">
        <v>9000</v>
      </c>
      <c r="K243">
        <v>2</v>
      </c>
      <c r="L243">
        <v>18000</v>
      </c>
      <c r="M243" t="s">
        <v>47</v>
      </c>
      <c r="N243">
        <v>4</v>
      </c>
      <c r="O243" t="s">
        <v>48</v>
      </c>
      <c r="P243" t="str">
        <f>TEXT(Hospitalitydata[[#This Row],[Booking_Date]],"mmm")</f>
        <v>Apr</v>
      </c>
    </row>
    <row r="244" spans="1:16" x14ac:dyDescent="0.3">
      <c r="A244" t="s">
        <v>604</v>
      </c>
      <c r="B244" t="s">
        <v>605</v>
      </c>
      <c r="C244" t="s">
        <v>606</v>
      </c>
      <c r="D244" t="s">
        <v>555</v>
      </c>
      <c r="E244" t="s">
        <v>43</v>
      </c>
      <c r="F244" t="s">
        <v>62</v>
      </c>
      <c r="G244" t="s">
        <v>21</v>
      </c>
      <c r="H244" t="s">
        <v>63</v>
      </c>
      <c r="I244" t="s">
        <v>33</v>
      </c>
      <c r="J244">
        <v>7000</v>
      </c>
      <c r="K244">
        <v>6</v>
      </c>
      <c r="L244">
        <v>42000</v>
      </c>
      <c r="M244" t="s">
        <v>24</v>
      </c>
      <c r="N244">
        <v>4</v>
      </c>
      <c r="O244" t="s">
        <v>25</v>
      </c>
      <c r="P244" t="str">
        <f>TEXT(Hospitalitydata[[#This Row],[Booking_Date]],"mmm")</f>
        <v>Feb</v>
      </c>
    </row>
    <row r="245" spans="1:16" x14ac:dyDescent="0.3">
      <c r="A245" t="s">
        <v>607</v>
      </c>
      <c r="B245" t="s">
        <v>608</v>
      </c>
      <c r="C245" t="s">
        <v>170</v>
      </c>
      <c r="D245" t="s">
        <v>498</v>
      </c>
      <c r="E245" t="s">
        <v>30</v>
      </c>
      <c r="F245" t="s">
        <v>53</v>
      </c>
      <c r="G245" t="s">
        <v>21</v>
      </c>
      <c r="H245" t="s">
        <v>63</v>
      </c>
      <c r="I245" t="s">
        <v>33</v>
      </c>
      <c r="J245">
        <v>2500</v>
      </c>
      <c r="K245">
        <v>1</v>
      </c>
      <c r="L245">
        <v>2500</v>
      </c>
      <c r="M245" t="s">
        <v>47</v>
      </c>
      <c r="N245">
        <v>4</v>
      </c>
      <c r="O245" t="s">
        <v>48</v>
      </c>
      <c r="P245" t="str">
        <f>TEXT(Hospitalitydata[[#This Row],[Booking_Date]],"mmm")</f>
        <v>Apr</v>
      </c>
    </row>
    <row r="246" spans="1:16" x14ac:dyDescent="0.3">
      <c r="A246" t="s">
        <v>609</v>
      </c>
      <c r="B246" t="s">
        <v>253</v>
      </c>
      <c r="C246" t="s">
        <v>170</v>
      </c>
      <c r="D246" t="s">
        <v>171</v>
      </c>
      <c r="E246" t="s">
        <v>43</v>
      </c>
      <c r="F246" t="s">
        <v>20</v>
      </c>
      <c r="G246" t="s">
        <v>21</v>
      </c>
      <c r="H246" t="s">
        <v>63</v>
      </c>
      <c r="I246" t="s">
        <v>23</v>
      </c>
      <c r="J246">
        <v>3500</v>
      </c>
      <c r="K246">
        <v>3</v>
      </c>
      <c r="L246">
        <v>10500</v>
      </c>
      <c r="M246" t="s">
        <v>24</v>
      </c>
      <c r="N246">
        <v>5</v>
      </c>
      <c r="O246" t="s">
        <v>25</v>
      </c>
      <c r="P246" t="str">
        <f>TEXT(Hospitalitydata[[#This Row],[Booking_Date]],"mmm")</f>
        <v>May</v>
      </c>
    </row>
    <row r="247" spans="1:16" x14ac:dyDescent="0.3">
      <c r="A247" t="s">
        <v>610</v>
      </c>
      <c r="B247" t="s">
        <v>497</v>
      </c>
      <c r="C247" t="s">
        <v>365</v>
      </c>
      <c r="D247" t="s">
        <v>508</v>
      </c>
      <c r="E247" t="s">
        <v>30</v>
      </c>
      <c r="F247" t="s">
        <v>20</v>
      </c>
      <c r="G247" t="s">
        <v>32</v>
      </c>
      <c r="H247" t="s">
        <v>22</v>
      </c>
      <c r="I247" t="s">
        <v>23</v>
      </c>
      <c r="J247">
        <v>2500</v>
      </c>
      <c r="K247">
        <v>1</v>
      </c>
      <c r="L247">
        <v>2500</v>
      </c>
      <c r="M247" t="s">
        <v>24</v>
      </c>
      <c r="N247">
        <v>4</v>
      </c>
      <c r="O247" t="s">
        <v>25</v>
      </c>
      <c r="P247" t="str">
        <f>TEXT(Hospitalitydata[[#This Row],[Booking_Date]],"mmm")</f>
        <v>May</v>
      </c>
    </row>
    <row r="248" spans="1:16" x14ac:dyDescent="0.3">
      <c r="A248" t="s">
        <v>611</v>
      </c>
      <c r="B248" t="s">
        <v>73</v>
      </c>
      <c r="C248" t="s">
        <v>175</v>
      </c>
      <c r="D248" t="s">
        <v>480</v>
      </c>
      <c r="E248" t="s">
        <v>19</v>
      </c>
      <c r="F248" t="s">
        <v>31</v>
      </c>
      <c r="G248" t="s">
        <v>44</v>
      </c>
      <c r="H248" t="s">
        <v>45</v>
      </c>
      <c r="I248" t="s">
        <v>46</v>
      </c>
      <c r="J248">
        <v>7000</v>
      </c>
      <c r="K248">
        <v>2</v>
      </c>
      <c r="L248">
        <v>14000</v>
      </c>
      <c r="M248" t="s">
        <v>24</v>
      </c>
      <c r="N248">
        <v>3</v>
      </c>
      <c r="O248" t="s">
        <v>25</v>
      </c>
      <c r="P248" t="str">
        <f>TEXT(Hospitalitydata[[#This Row],[Booking_Date]],"mmm")</f>
        <v>Jul</v>
      </c>
    </row>
    <row r="249" spans="1:16" x14ac:dyDescent="0.3">
      <c r="A249" t="s">
        <v>612</v>
      </c>
      <c r="B249" t="s">
        <v>198</v>
      </c>
      <c r="C249" t="s">
        <v>207</v>
      </c>
      <c r="D249" t="s">
        <v>300</v>
      </c>
      <c r="E249" t="s">
        <v>37</v>
      </c>
      <c r="F249" t="s">
        <v>62</v>
      </c>
      <c r="G249" t="s">
        <v>21</v>
      </c>
      <c r="H249" t="s">
        <v>22</v>
      </c>
      <c r="I249" t="s">
        <v>33</v>
      </c>
      <c r="J249">
        <v>9000</v>
      </c>
      <c r="K249">
        <v>7</v>
      </c>
      <c r="L249">
        <v>63000</v>
      </c>
      <c r="M249" t="s">
        <v>24</v>
      </c>
      <c r="N249">
        <v>3</v>
      </c>
      <c r="O249" t="s">
        <v>25</v>
      </c>
      <c r="P249" t="str">
        <f>TEXT(Hospitalitydata[[#This Row],[Booking_Date]],"mmm")</f>
        <v>Oct</v>
      </c>
    </row>
    <row r="250" spans="1:16" x14ac:dyDescent="0.3">
      <c r="A250" t="s">
        <v>613</v>
      </c>
      <c r="B250" t="s">
        <v>181</v>
      </c>
      <c r="C250" t="s">
        <v>420</v>
      </c>
      <c r="D250" t="s">
        <v>112</v>
      </c>
      <c r="E250" t="s">
        <v>19</v>
      </c>
      <c r="F250" t="s">
        <v>53</v>
      </c>
      <c r="G250" t="s">
        <v>21</v>
      </c>
      <c r="H250" t="s">
        <v>63</v>
      </c>
      <c r="I250" t="s">
        <v>23</v>
      </c>
      <c r="J250">
        <v>2500</v>
      </c>
      <c r="K250">
        <v>3</v>
      </c>
      <c r="L250">
        <v>7500</v>
      </c>
      <c r="M250" t="s">
        <v>24</v>
      </c>
      <c r="N250">
        <v>5</v>
      </c>
      <c r="O250" t="s">
        <v>25</v>
      </c>
      <c r="P250" t="str">
        <f>TEXT(Hospitalitydata[[#This Row],[Booking_Date]],"mmm")</f>
        <v>Jul</v>
      </c>
    </row>
    <row r="251" spans="1:16" x14ac:dyDescent="0.3">
      <c r="A251" t="s">
        <v>614</v>
      </c>
      <c r="B251" t="s">
        <v>50</v>
      </c>
      <c r="C251" t="s">
        <v>558</v>
      </c>
      <c r="D251" t="s">
        <v>338</v>
      </c>
      <c r="E251" t="s">
        <v>127</v>
      </c>
      <c r="F251" t="s">
        <v>53</v>
      </c>
      <c r="G251" t="s">
        <v>32</v>
      </c>
      <c r="H251" t="s">
        <v>63</v>
      </c>
      <c r="I251" t="s">
        <v>38</v>
      </c>
      <c r="J251">
        <v>5500</v>
      </c>
      <c r="K251">
        <v>6</v>
      </c>
      <c r="L251">
        <v>33000</v>
      </c>
      <c r="M251" t="s">
        <v>24</v>
      </c>
      <c r="N251">
        <v>4</v>
      </c>
      <c r="O251" t="s">
        <v>25</v>
      </c>
      <c r="P251" t="str">
        <f>TEXT(Hospitalitydata[[#This Row],[Booking_Date]],"mmm")</f>
        <v>Jun</v>
      </c>
    </row>
    <row r="252" spans="1:16" x14ac:dyDescent="0.3">
      <c r="A252" t="s">
        <v>615</v>
      </c>
      <c r="B252" t="s">
        <v>616</v>
      </c>
      <c r="C252" t="s">
        <v>401</v>
      </c>
      <c r="D252" t="s">
        <v>577</v>
      </c>
      <c r="E252" t="s">
        <v>37</v>
      </c>
      <c r="F252" t="s">
        <v>62</v>
      </c>
      <c r="G252" t="s">
        <v>44</v>
      </c>
      <c r="H252" t="s">
        <v>45</v>
      </c>
      <c r="I252" t="s">
        <v>38</v>
      </c>
      <c r="J252">
        <v>5500</v>
      </c>
      <c r="K252">
        <v>5</v>
      </c>
      <c r="L252">
        <v>27500</v>
      </c>
      <c r="M252" t="s">
        <v>24</v>
      </c>
      <c r="N252">
        <v>3</v>
      </c>
      <c r="O252" t="s">
        <v>25</v>
      </c>
      <c r="P252" t="str">
        <f>TEXT(Hospitalitydata[[#This Row],[Booking_Date]],"mmm")</f>
        <v>Apr</v>
      </c>
    </row>
    <row r="253" spans="1:16" x14ac:dyDescent="0.3">
      <c r="A253" t="s">
        <v>617</v>
      </c>
      <c r="B253" t="s">
        <v>618</v>
      </c>
      <c r="C253" t="s">
        <v>408</v>
      </c>
      <c r="D253" t="s">
        <v>69</v>
      </c>
      <c r="E253" t="s">
        <v>19</v>
      </c>
      <c r="F253" t="s">
        <v>87</v>
      </c>
      <c r="G253" t="s">
        <v>21</v>
      </c>
      <c r="H253" t="s">
        <v>45</v>
      </c>
      <c r="I253" t="s">
        <v>38</v>
      </c>
      <c r="J253">
        <v>3500</v>
      </c>
      <c r="K253">
        <v>5</v>
      </c>
      <c r="L253">
        <v>17500</v>
      </c>
      <c r="M253" t="s">
        <v>24</v>
      </c>
      <c r="N253">
        <v>4</v>
      </c>
      <c r="O253" t="s">
        <v>25</v>
      </c>
      <c r="P253" t="str">
        <f>TEXT(Hospitalitydata[[#This Row],[Booking_Date]],"mmm")</f>
        <v>Aug</v>
      </c>
    </row>
    <row r="254" spans="1:16" x14ac:dyDescent="0.3">
      <c r="A254" t="s">
        <v>619</v>
      </c>
      <c r="B254" t="s">
        <v>473</v>
      </c>
      <c r="C254" t="s">
        <v>345</v>
      </c>
      <c r="D254" t="s">
        <v>558</v>
      </c>
      <c r="E254" t="s">
        <v>37</v>
      </c>
      <c r="F254" t="s">
        <v>53</v>
      </c>
      <c r="G254" t="s">
        <v>21</v>
      </c>
      <c r="H254" t="s">
        <v>22</v>
      </c>
      <c r="I254" t="s">
        <v>23</v>
      </c>
      <c r="J254">
        <v>9000</v>
      </c>
      <c r="K254">
        <v>5</v>
      </c>
      <c r="L254">
        <v>45000</v>
      </c>
      <c r="M254" t="s">
        <v>24</v>
      </c>
      <c r="N254">
        <v>3</v>
      </c>
      <c r="O254" t="s">
        <v>25</v>
      </c>
      <c r="P254" t="str">
        <f>TEXT(Hospitalitydata[[#This Row],[Booking_Date]],"mmm")</f>
        <v>Jul</v>
      </c>
    </row>
    <row r="255" spans="1:16" x14ac:dyDescent="0.3">
      <c r="A255" t="s">
        <v>620</v>
      </c>
      <c r="B255" t="s">
        <v>159</v>
      </c>
      <c r="C255" t="s">
        <v>397</v>
      </c>
      <c r="D255" t="s">
        <v>137</v>
      </c>
      <c r="E255" t="s">
        <v>19</v>
      </c>
      <c r="F255" t="s">
        <v>53</v>
      </c>
      <c r="G255" t="s">
        <v>32</v>
      </c>
      <c r="H255" t="s">
        <v>63</v>
      </c>
      <c r="I255" t="s">
        <v>46</v>
      </c>
      <c r="J255">
        <v>7000</v>
      </c>
      <c r="K255">
        <v>7</v>
      </c>
      <c r="L255">
        <v>49000</v>
      </c>
      <c r="M255" t="s">
        <v>24</v>
      </c>
      <c r="N255">
        <v>5</v>
      </c>
      <c r="O255" t="s">
        <v>25</v>
      </c>
      <c r="P255" t="str">
        <f>TEXT(Hospitalitydata[[#This Row],[Booking_Date]],"mmm")</f>
        <v>Feb</v>
      </c>
    </row>
    <row r="256" spans="1:16" x14ac:dyDescent="0.3">
      <c r="A256" t="s">
        <v>621</v>
      </c>
      <c r="B256" t="s">
        <v>622</v>
      </c>
      <c r="C256" t="s">
        <v>549</v>
      </c>
      <c r="D256" t="s">
        <v>623</v>
      </c>
      <c r="E256" t="s">
        <v>19</v>
      </c>
      <c r="F256" t="s">
        <v>31</v>
      </c>
      <c r="G256" t="s">
        <v>21</v>
      </c>
      <c r="H256" t="s">
        <v>45</v>
      </c>
      <c r="I256" t="s">
        <v>38</v>
      </c>
      <c r="J256">
        <v>9000</v>
      </c>
      <c r="K256">
        <v>2</v>
      </c>
      <c r="L256">
        <v>18000</v>
      </c>
      <c r="M256" t="s">
        <v>24</v>
      </c>
      <c r="N256">
        <v>4</v>
      </c>
      <c r="O256" t="s">
        <v>25</v>
      </c>
      <c r="P256" t="str">
        <f>TEXT(Hospitalitydata[[#This Row],[Booking_Date]],"mmm")</f>
        <v>Jan</v>
      </c>
    </row>
    <row r="257" spans="1:16" x14ac:dyDescent="0.3">
      <c r="A257" t="s">
        <v>624</v>
      </c>
      <c r="B257" t="s">
        <v>432</v>
      </c>
      <c r="C257" t="s">
        <v>254</v>
      </c>
      <c r="D257" t="s">
        <v>110</v>
      </c>
      <c r="E257" t="s">
        <v>37</v>
      </c>
      <c r="F257" t="s">
        <v>87</v>
      </c>
      <c r="G257" t="s">
        <v>44</v>
      </c>
      <c r="H257" t="s">
        <v>63</v>
      </c>
      <c r="I257" t="s">
        <v>38</v>
      </c>
      <c r="J257">
        <v>4500</v>
      </c>
      <c r="K257">
        <v>3</v>
      </c>
      <c r="L257">
        <v>13500</v>
      </c>
      <c r="M257" t="s">
        <v>24</v>
      </c>
      <c r="N257">
        <v>5</v>
      </c>
      <c r="O257" t="s">
        <v>25</v>
      </c>
      <c r="P257" t="str">
        <f>TEXT(Hospitalitydata[[#This Row],[Booking_Date]],"mmm")</f>
        <v>May</v>
      </c>
    </row>
    <row r="258" spans="1:16" x14ac:dyDescent="0.3">
      <c r="A258" t="s">
        <v>625</v>
      </c>
      <c r="B258" t="s">
        <v>210</v>
      </c>
      <c r="C258" t="s">
        <v>124</v>
      </c>
      <c r="D258" t="s">
        <v>70</v>
      </c>
      <c r="E258" t="s">
        <v>19</v>
      </c>
      <c r="F258" t="s">
        <v>87</v>
      </c>
      <c r="G258" t="s">
        <v>44</v>
      </c>
      <c r="H258" t="s">
        <v>63</v>
      </c>
      <c r="I258" t="s">
        <v>23</v>
      </c>
      <c r="J258">
        <v>9000</v>
      </c>
      <c r="K258">
        <v>7</v>
      </c>
      <c r="L258">
        <v>63000</v>
      </c>
      <c r="M258" t="s">
        <v>24</v>
      </c>
      <c r="N258">
        <v>4</v>
      </c>
      <c r="O258" t="s">
        <v>25</v>
      </c>
      <c r="P258" t="str">
        <f>TEXT(Hospitalitydata[[#This Row],[Booking_Date]],"mmm")</f>
        <v>Aug</v>
      </c>
    </row>
    <row r="259" spans="1:16" x14ac:dyDescent="0.3">
      <c r="A259" t="s">
        <v>626</v>
      </c>
      <c r="B259" t="s">
        <v>173</v>
      </c>
      <c r="C259" t="s">
        <v>28</v>
      </c>
      <c r="D259" t="s">
        <v>316</v>
      </c>
      <c r="E259" t="s">
        <v>30</v>
      </c>
      <c r="F259" t="s">
        <v>31</v>
      </c>
      <c r="G259" t="s">
        <v>21</v>
      </c>
      <c r="H259" t="s">
        <v>22</v>
      </c>
      <c r="I259" t="s">
        <v>38</v>
      </c>
      <c r="J259">
        <v>9000</v>
      </c>
      <c r="K259">
        <v>2</v>
      </c>
      <c r="L259">
        <v>18000</v>
      </c>
      <c r="M259" t="s">
        <v>24</v>
      </c>
      <c r="N259">
        <v>4</v>
      </c>
      <c r="O259" t="s">
        <v>25</v>
      </c>
      <c r="P259" t="str">
        <f>TEXT(Hospitalitydata[[#This Row],[Booking_Date]],"mmm")</f>
        <v>Oct</v>
      </c>
    </row>
    <row r="260" spans="1:16" x14ac:dyDescent="0.3">
      <c r="A260" t="s">
        <v>627</v>
      </c>
      <c r="B260" t="s">
        <v>307</v>
      </c>
      <c r="C260" t="s">
        <v>304</v>
      </c>
      <c r="D260" t="s">
        <v>281</v>
      </c>
      <c r="E260" t="s">
        <v>19</v>
      </c>
      <c r="F260" t="s">
        <v>53</v>
      </c>
      <c r="G260" t="s">
        <v>21</v>
      </c>
      <c r="H260" t="s">
        <v>22</v>
      </c>
      <c r="I260" t="s">
        <v>46</v>
      </c>
      <c r="J260">
        <v>4500</v>
      </c>
      <c r="K260">
        <v>2</v>
      </c>
      <c r="L260">
        <v>9000</v>
      </c>
      <c r="M260" t="s">
        <v>24</v>
      </c>
      <c r="N260">
        <v>5</v>
      </c>
      <c r="O260" t="s">
        <v>25</v>
      </c>
      <c r="P260" t="str">
        <f>TEXT(Hospitalitydata[[#This Row],[Booking_Date]],"mmm")</f>
        <v>Jun</v>
      </c>
    </row>
    <row r="261" spans="1:16" x14ac:dyDescent="0.3">
      <c r="A261" t="s">
        <v>628</v>
      </c>
      <c r="B261" t="s">
        <v>508</v>
      </c>
      <c r="C261" t="s">
        <v>304</v>
      </c>
      <c r="D261" t="s">
        <v>569</v>
      </c>
      <c r="E261" t="s">
        <v>127</v>
      </c>
      <c r="F261" t="s">
        <v>62</v>
      </c>
      <c r="G261" t="s">
        <v>21</v>
      </c>
      <c r="H261" t="s">
        <v>63</v>
      </c>
      <c r="I261" t="s">
        <v>33</v>
      </c>
      <c r="J261">
        <v>5500</v>
      </c>
      <c r="K261">
        <v>7</v>
      </c>
      <c r="L261">
        <v>38500</v>
      </c>
      <c r="M261" t="s">
        <v>47</v>
      </c>
      <c r="N261">
        <v>4</v>
      </c>
      <c r="O261" t="s">
        <v>48</v>
      </c>
      <c r="P261" t="str">
        <f>TEXT(Hospitalitydata[[#This Row],[Booking_Date]],"mmm")</f>
        <v>May</v>
      </c>
    </row>
    <row r="262" spans="1:16" x14ac:dyDescent="0.3">
      <c r="A262" t="s">
        <v>629</v>
      </c>
      <c r="B262" t="s">
        <v>630</v>
      </c>
      <c r="C262" t="s">
        <v>157</v>
      </c>
      <c r="D262" t="s">
        <v>631</v>
      </c>
      <c r="E262" t="s">
        <v>43</v>
      </c>
      <c r="F262" t="s">
        <v>31</v>
      </c>
      <c r="G262" t="s">
        <v>32</v>
      </c>
      <c r="H262" t="s">
        <v>45</v>
      </c>
      <c r="I262" t="s">
        <v>23</v>
      </c>
      <c r="J262">
        <v>5500</v>
      </c>
      <c r="K262">
        <v>5</v>
      </c>
      <c r="L262">
        <v>27500</v>
      </c>
      <c r="M262" t="s">
        <v>24</v>
      </c>
      <c r="N262">
        <v>5</v>
      </c>
      <c r="O262" t="s">
        <v>25</v>
      </c>
      <c r="P262" t="str">
        <f>TEXT(Hospitalitydata[[#This Row],[Booking_Date]],"mmm")</f>
        <v>Mar</v>
      </c>
    </row>
    <row r="263" spans="1:16" x14ac:dyDescent="0.3">
      <c r="A263" t="s">
        <v>632</v>
      </c>
      <c r="B263" t="s">
        <v>441</v>
      </c>
      <c r="C263" t="s">
        <v>342</v>
      </c>
      <c r="D263" t="s">
        <v>386</v>
      </c>
      <c r="E263" t="s">
        <v>19</v>
      </c>
      <c r="F263" t="s">
        <v>20</v>
      </c>
      <c r="G263" t="s">
        <v>32</v>
      </c>
      <c r="H263" t="s">
        <v>22</v>
      </c>
      <c r="I263" t="s">
        <v>38</v>
      </c>
      <c r="J263">
        <v>9000</v>
      </c>
      <c r="K263">
        <v>2</v>
      </c>
      <c r="L263">
        <v>18000</v>
      </c>
      <c r="M263" t="s">
        <v>24</v>
      </c>
      <c r="N263">
        <v>5</v>
      </c>
      <c r="O263" t="s">
        <v>25</v>
      </c>
      <c r="P263" t="str">
        <f>TEXT(Hospitalitydata[[#This Row],[Booking_Date]],"mmm")</f>
        <v>Jan</v>
      </c>
    </row>
    <row r="264" spans="1:16" x14ac:dyDescent="0.3">
      <c r="A264" t="s">
        <v>633</v>
      </c>
      <c r="B264" t="s">
        <v>544</v>
      </c>
      <c r="C264" t="s">
        <v>81</v>
      </c>
      <c r="D264" t="s">
        <v>634</v>
      </c>
      <c r="E264" t="s">
        <v>127</v>
      </c>
      <c r="F264" t="s">
        <v>53</v>
      </c>
      <c r="G264" t="s">
        <v>32</v>
      </c>
      <c r="H264" t="s">
        <v>45</v>
      </c>
      <c r="I264" t="s">
        <v>38</v>
      </c>
      <c r="J264">
        <v>9000</v>
      </c>
      <c r="K264">
        <v>5</v>
      </c>
      <c r="L264">
        <v>45000</v>
      </c>
      <c r="M264" t="s">
        <v>24</v>
      </c>
      <c r="N264">
        <v>5</v>
      </c>
      <c r="O264" t="s">
        <v>25</v>
      </c>
      <c r="P264" t="str">
        <f>TEXT(Hospitalitydata[[#This Row],[Booking_Date]],"mmm")</f>
        <v>Jul</v>
      </c>
    </row>
    <row r="265" spans="1:16" x14ac:dyDescent="0.3">
      <c r="A265" t="s">
        <v>635</v>
      </c>
      <c r="B265" t="s">
        <v>636</v>
      </c>
      <c r="C265" t="s">
        <v>622</v>
      </c>
      <c r="D265" t="s">
        <v>637</v>
      </c>
      <c r="E265" t="s">
        <v>43</v>
      </c>
      <c r="F265" t="s">
        <v>31</v>
      </c>
      <c r="G265" t="s">
        <v>21</v>
      </c>
      <c r="H265" t="s">
        <v>22</v>
      </c>
      <c r="I265" t="s">
        <v>38</v>
      </c>
      <c r="J265">
        <v>9000</v>
      </c>
      <c r="K265">
        <v>5</v>
      </c>
      <c r="L265">
        <v>45000</v>
      </c>
      <c r="M265" t="s">
        <v>24</v>
      </c>
      <c r="N265">
        <v>4</v>
      </c>
      <c r="O265" t="s">
        <v>25</v>
      </c>
      <c r="P265" t="str">
        <f>TEXT(Hospitalitydata[[#This Row],[Booking_Date]],"mmm")</f>
        <v>Jan</v>
      </c>
    </row>
    <row r="266" spans="1:16" x14ac:dyDescent="0.3">
      <c r="A266" t="s">
        <v>638</v>
      </c>
      <c r="B266" t="s">
        <v>183</v>
      </c>
      <c r="C266" t="s">
        <v>157</v>
      </c>
      <c r="D266" t="s">
        <v>376</v>
      </c>
      <c r="E266" t="s">
        <v>30</v>
      </c>
      <c r="F266" t="s">
        <v>31</v>
      </c>
      <c r="G266" t="s">
        <v>44</v>
      </c>
      <c r="H266" t="s">
        <v>63</v>
      </c>
      <c r="I266" t="s">
        <v>46</v>
      </c>
      <c r="J266">
        <v>7000</v>
      </c>
      <c r="K266">
        <v>1</v>
      </c>
      <c r="L266">
        <v>7000</v>
      </c>
      <c r="M266" t="s">
        <v>24</v>
      </c>
      <c r="N266">
        <v>3</v>
      </c>
      <c r="O266" t="s">
        <v>25</v>
      </c>
      <c r="P266" t="str">
        <f>TEXT(Hospitalitydata[[#This Row],[Booking_Date]],"mmm")</f>
        <v>Apr</v>
      </c>
    </row>
    <row r="267" spans="1:16" x14ac:dyDescent="0.3">
      <c r="A267" t="s">
        <v>639</v>
      </c>
      <c r="B267" t="s">
        <v>338</v>
      </c>
      <c r="C267" t="s">
        <v>180</v>
      </c>
      <c r="D267" t="s">
        <v>352</v>
      </c>
      <c r="E267" t="s">
        <v>19</v>
      </c>
      <c r="F267" t="s">
        <v>87</v>
      </c>
      <c r="G267" t="s">
        <v>21</v>
      </c>
      <c r="H267" t="s">
        <v>45</v>
      </c>
      <c r="I267" t="s">
        <v>23</v>
      </c>
      <c r="J267">
        <v>5500</v>
      </c>
      <c r="K267">
        <v>3</v>
      </c>
      <c r="L267">
        <v>16500</v>
      </c>
      <c r="M267" t="s">
        <v>24</v>
      </c>
      <c r="N267">
        <v>3</v>
      </c>
      <c r="O267" t="s">
        <v>25</v>
      </c>
      <c r="P267" t="str">
        <f>TEXT(Hospitalitydata[[#This Row],[Booking_Date]],"mmm")</f>
        <v>Jul</v>
      </c>
    </row>
    <row r="268" spans="1:16" x14ac:dyDescent="0.3">
      <c r="A268" t="s">
        <v>640</v>
      </c>
      <c r="B268" t="s">
        <v>212</v>
      </c>
      <c r="C268" t="s">
        <v>105</v>
      </c>
      <c r="D268" t="s">
        <v>530</v>
      </c>
      <c r="E268" t="s">
        <v>43</v>
      </c>
      <c r="F268" t="s">
        <v>62</v>
      </c>
      <c r="G268" t="s">
        <v>32</v>
      </c>
      <c r="H268" t="s">
        <v>63</v>
      </c>
      <c r="I268" t="s">
        <v>38</v>
      </c>
      <c r="J268">
        <v>5500</v>
      </c>
      <c r="K268">
        <v>4</v>
      </c>
      <c r="L268">
        <v>22000</v>
      </c>
      <c r="M268" t="s">
        <v>24</v>
      </c>
      <c r="N268">
        <v>3</v>
      </c>
      <c r="O268" t="s">
        <v>25</v>
      </c>
      <c r="P268" t="str">
        <f>TEXT(Hospitalitydata[[#This Row],[Booking_Date]],"mmm")</f>
        <v>Feb</v>
      </c>
    </row>
    <row r="269" spans="1:16" x14ac:dyDescent="0.3">
      <c r="A269" t="s">
        <v>641</v>
      </c>
      <c r="B269" t="s">
        <v>302</v>
      </c>
      <c r="C269" t="s">
        <v>322</v>
      </c>
      <c r="D269" t="s">
        <v>642</v>
      </c>
      <c r="E269" t="s">
        <v>30</v>
      </c>
      <c r="F269" t="s">
        <v>20</v>
      </c>
      <c r="G269" t="s">
        <v>32</v>
      </c>
      <c r="H269" t="s">
        <v>45</v>
      </c>
      <c r="I269" t="s">
        <v>38</v>
      </c>
      <c r="J269">
        <v>7000</v>
      </c>
      <c r="K269">
        <v>3</v>
      </c>
      <c r="L269">
        <v>21000</v>
      </c>
      <c r="M269" t="s">
        <v>47</v>
      </c>
      <c r="N269">
        <v>1</v>
      </c>
      <c r="O269" t="s">
        <v>48</v>
      </c>
      <c r="P269" t="str">
        <f>TEXT(Hospitalitydata[[#This Row],[Booking_Date]],"mmm")</f>
        <v>Nov</v>
      </c>
    </row>
    <row r="270" spans="1:16" x14ac:dyDescent="0.3">
      <c r="A270" t="s">
        <v>643</v>
      </c>
      <c r="B270" t="s">
        <v>109</v>
      </c>
      <c r="C270" t="s">
        <v>254</v>
      </c>
      <c r="D270" t="s">
        <v>170</v>
      </c>
      <c r="E270" t="s">
        <v>19</v>
      </c>
      <c r="F270" t="s">
        <v>87</v>
      </c>
      <c r="G270" t="s">
        <v>32</v>
      </c>
      <c r="H270" t="s">
        <v>45</v>
      </c>
      <c r="I270" t="s">
        <v>33</v>
      </c>
      <c r="J270">
        <v>9000</v>
      </c>
      <c r="K270">
        <v>1</v>
      </c>
      <c r="L270">
        <v>9000</v>
      </c>
      <c r="M270" t="s">
        <v>47</v>
      </c>
      <c r="N270">
        <v>1</v>
      </c>
      <c r="O270" t="s">
        <v>48</v>
      </c>
      <c r="P270" t="str">
        <f>TEXT(Hospitalitydata[[#This Row],[Booking_Date]],"mmm")</f>
        <v>May</v>
      </c>
    </row>
    <row r="271" spans="1:16" x14ac:dyDescent="0.3">
      <c r="A271" t="s">
        <v>644</v>
      </c>
      <c r="B271" t="s">
        <v>645</v>
      </c>
      <c r="C271" t="s">
        <v>646</v>
      </c>
      <c r="D271" t="s">
        <v>647</v>
      </c>
      <c r="E271" t="s">
        <v>19</v>
      </c>
      <c r="F271" t="s">
        <v>31</v>
      </c>
      <c r="G271" t="s">
        <v>44</v>
      </c>
      <c r="H271" t="s">
        <v>22</v>
      </c>
      <c r="I271" t="s">
        <v>46</v>
      </c>
      <c r="J271">
        <v>2500</v>
      </c>
      <c r="K271">
        <v>4</v>
      </c>
      <c r="L271">
        <v>10000</v>
      </c>
      <c r="M271" t="s">
        <v>24</v>
      </c>
      <c r="N271">
        <v>5</v>
      </c>
      <c r="O271" t="s">
        <v>25</v>
      </c>
      <c r="P271" t="str">
        <f>TEXT(Hospitalitydata[[#This Row],[Booking_Date]],"mmm")</f>
        <v>Dec</v>
      </c>
    </row>
    <row r="272" spans="1:16" x14ac:dyDescent="0.3">
      <c r="A272" t="s">
        <v>648</v>
      </c>
      <c r="B272" t="s">
        <v>51</v>
      </c>
      <c r="C272" t="s">
        <v>420</v>
      </c>
      <c r="D272" t="s">
        <v>359</v>
      </c>
      <c r="E272" t="s">
        <v>43</v>
      </c>
      <c r="F272" t="s">
        <v>31</v>
      </c>
      <c r="G272" t="s">
        <v>21</v>
      </c>
      <c r="H272" t="s">
        <v>63</v>
      </c>
      <c r="I272" t="s">
        <v>23</v>
      </c>
      <c r="J272">
        <v>3500</v>
      </c>
      <c r="K272">
        <v>6</v>
      </c>
      <c r="L272">
        <v>21000</v>
      </c>
      <c r="M272" t="s">
        <v>24</v>
      </c>
      <c r="N272">
        <v>5</v>
      </c>
      <c r="O272" t="s">
        <v>25</v>
      </c>
      <c r="P272" t="str">
        <f>TEXT(Hospitalitydata[[#This Row],[Booking_Date]],"mmm")</f>
        <v>Jul</v>
      </c>
    </row>
    <row r="273" spans="1:16" x14ac:dyDescent="0.3">
      <c r="A273" t="s">
        <v>649</v>
      </c>
      <c r="B273" t="s">
        <v>650</v>
      </c>
      <c r="C273" t="s">
        <v>530</v>
      </c>
      <c r="D273" t="s">
        <v>453</v>
      </c>
      <c r="E273" t="s">
        <v>30</v>
      </c>
      <c r="F273" t="s">
        <v>53</v>
      </c>
      <c r="G273" t="s">
        <v>44</v>
      </c>
      <c r="H273" t="s">
        <v>45</v>
      </c>
      <c r="I273" t="s">
        <v>46</v>
      </c>
      <c r="J273">
        <v>2500</v>
      </c>
      <c r="K273">
        <v>2</v>
      </c>
      <c r="L273">
        <v>5000</v>
      </c>
      <c r="M273" t="s">
        <v>24</v>
      </c>
      <c r="N273">
        <v>5</v>
      </c>
      <c r="O273" t="s">
        <v>25</v>
      </c>
      <c r="P273" t="str">
        <f>TEXT(Hospitalitydata[[#This Row],[Booking_Date]],"mmm")</f>
        <v>Feb</v>
      </c>
    </row>
    <row r="274" spans="1:16" x14ac:dyDescent="0.3">
      <c r="A274" t="s">
        <v>651</v>
      </c>
      <c r="B274" t="s">
        <v>546</v>
      </c>
      <c r="C274" t="s">
        <v>285</v>
      </c>
      <c r="D274" t="s">
        <v>409</v>
      </c>
      <c r="E274" t="s">
        <v>127</v>
      </c>
      <c r="F274" t="s">
        <v>62</v>
      </c>
      <c r="G274" t="s">
        <v>21</v>
      </c>
      <c r="H274" t="s">
        <v>22</v>
      </c>
      <c r="I274" t="s">
        <v>38</v>
      </c>
      <c r="J274">
        <v>4500</v>
      </c>
      <c r="K274">
        <v>2</v>
      </c>
      <c r="L274">
        <v>9000</v>
      </c>
      <c r="M274" t="s">
        <v>24</v>
      </c>
      <c r="N274">
        <v>4</v>
      </c>
      <c r="O274" t="s">
        <v>25</v>
      </c>
      <c r="P274" t="str">
        <f>TEXT(Hospitalitydata[[#This Row],[Booking_Date]],"mmm")</f>
        <v>Aug</v>
      </c>
    </row>
    <row r="275" spans="1:16" x14ac:dyDescent="0.3">
      <c r="A275" t="s">
        <v>652</v>
      </c>
      <c r="B275" t="s">
        <v>221</v>
      </c>
      <c r="C275" t="s">
        <v>60</v>
      </c>
      <c r="D275" t="s">
        <v>77</v>
      </c>
      <c r="E275" t="s">
        <v>43</v>
      </c>
      <c r="F275" t="s">
        <v>20</v>
      </c>
      <c r="G275" t="s">
        <v>44</v>
      </c>
      <c r="H275" t="s">
        <v>45</v>
      </c>
      <c r="I275" t="s">
        <v>38</v>
      </c>
      <c r="J275">
        <v>4500</v>
      </c>
      <c r="K275">
        <v>5</v>
      </c>
      <c r="L275">
        <v>22500</v>
      </c>
      <c r="M275" t="s">
        <v>24</v>
      </c>
      <c r="N275">
        <v>5</v>
      </c>
      <c r="O275" t="s">
        <v>25</v>
      </c>
      <c r="P275" t="str">
        <f>TEXT(Hospitalitydata[[#This Row],[Booking_Date]],"mmm")</f>
        <v>Feb</v>
      </c>
    </row>
    <row r="276" spans="1:16" x14ac:dyDescent="0.3">
      <c r="A276" t="s">
        <v>653</v>
      </c>
      <c r="B276" t="s">
        <v>645</v>
      </c>
      <c r="C276" t="s">
        <v>654</v>
      </c>
      <c r="D276" t="s">
        <v>655</v>
      </c>
      <c r="E276" t="s">
        <v>37</v>
      </c>
      <c r="F276" t="s">
        <v>20</v>
      </c>
      <c r="G276" t="s">
        <v>32</v>
      </c>
      <c r="H276" t="s">
        <v>45</v>
      </c>
      <c r="I276" t="s">
        <v>46</v>
      </c>
      <c r="J276">
        <v>3500</v>
      </c>
      <c r="K276">
        <v>6</v>
      </c>
      <c r="L276">
        <v>21000</v>
      </c>
      <c r="M276" t="s">
        <v>24</v>
      </c>
      <c r="N276">
        <v>4</v>
      </c>
      <c r="O276" t="s">
        <v>25</v>
      </c>
      <c r="P276" t="str">
        <f>TEXT(Hospitalitydata[[#This Row],[Booking_Date]],"mmm")</f>
        <v>Dec</v>
      </c>
    </row>
    <row r="277" spans="1:16" x14ac:dyDescent="0.3">
      <c r="A277" t="s">
        <v>656</v>
      </c>
      <c r="B277" t="s">
        <v>359</v>
      </c>
      <c r="C277" t="s">
        <v>361</v>
      </c>
      <c r="D277" t="s">
        <v>285</v>
      </c>
      <c r="E277" t="s">
        <v>19</v>
      </c>
      <c r="F277" t="s">
        <v>53</v>
      </c>
      <c r="G277" t="s">
        <v>44</v>
      </c>
      <c r="H277" t="s">
        <v>22</v>
      </c>
      <c r="I277" t="s">
        <v>38</v>
      </c>
      <c r="J277">
        <v>4500</v>
      </c>
      <c r="K277">
        <v>7</v>
      </c>
      <c r="L277">
        <v>31500</v>
      </c>
      <c r="M277" t="s">
        <v>24</v>
      </c>
      <c r="N277">
        <v>3</v>
      </c>
      <c r="O277" t="s">
        <v>25</v>
      </c>
      <c r="P277" t="str">
        <f>TEXT(Hospitalitydata[[#This Row],[Booking_Date]],"mmm")</f>
        <v>Aug</v>
      </c>
    </row>
    <row r="278" spans="1:16" x14ac:dyDescent="0.3">
      <c r="A278" t="s">
        <v>657</v>
      </c>
      <c r="B278" t="s">
        <v>262</v>
      </c>
      <c r="C278" t="s">
        <v>423</v>
      </c>
      <c r="D278" t="s">
        <v>399</v>
      </c>
      <c r="E278" t="s">
        <v>30</v>
      </c>
      <c r="F278" t="s">
        <v>87</v>
      </c>
      <c r="G278" t="s">
        <v>44</v>
      </c>
      <c r="H278" t="s">
        <v>45</v>
      </c>
      <c r="I278" t="s">
        <v>46</v>
      </c>
      <c r="J278">
        <v>4500</v>
      </c>
      <c r="K278">
        <v>1</v>
      </c>
      <c r="L278">
        <v>4500</v>
      </c>
      <c r="M278" t="s">
        <v>24</v>
      </c>
      <c r="N278">
        <v>5</v>
      </c>
      <c r="O278" t="s">
        <v>25</v>
      </c>
      <c r="P278" t="str">
        <f>TEXT(Hospitalitydata[[#This Row],[Booking_Date]],"mmm")</f>
        <v>Feb</v>
      </c>
    </row>
    <row r="279" spans="1:16" x14ac:dyDescent="0.3">
      <c r="A279" t="s">
        <v>658</v>
      </c>
      <c r="B279" t="s">
        <v>181</v>
      </c>
      <c r="C279" t="s">
        <v>112</v>
      </c>
      <c r="D279" t="s">
        <v>408</v>
      </c>
      <c r="E279" t="s">
        <v>19</v>
      </c>
      <c r="F279" t="s">
        <v>31</v>
      </c>
      <c r="G279" t="s">
        <v>21</v>
      </c>
      <c r="H279" t="s">
        <v>45</v>
      </c>
      <c r="I279" t="s">
        <v>38</v>
      </c>
      <c r="J279">
        <v>2500</v>
      </c>
      <c r="K279">
        <v>7</v>
      </c>
      <c r="L279">
        <v>17500</v>
      </c>
      <c r="M279" t="s">
        <v>24</v>
      </c>
      <c r="N279">
        <v>5</v>
      </c>
      <c r="O279" t="s">
        <v>25</v>
      </c>
      <c r="P279" t="str">
        <f>TEXT(Hospitalitydata[[#This Row],[Booking_Date]],"mmm")</f>
        <v>Jul</v>
      </c>
    </row>
    <row r="280" spans="1:16" x14ac:dyDescent="0.3">
      <c r="A280" t="s">
        <v>659</v>
      </c>
      <c r="B280" t="s">
        <v>143</v>
      </c>
      <c r="C280" t="s">
        <v>183</v>
      </c>
      <c r="D280" t="s">
        <v>616</v>
      </c>
      <c r="E280" t="s">
        <v>43</v>
      </c>
      <c r="F280" t="s">
        <v>62</v>
      </c>
      <c r="G280" t="s">
        <v>44</v>
      </c>
      <c r="H280" t="s">
        <v>63</v>
      </c>
      <c r="I280" t="s">
        <v>38</v>
      </c>
      <c r="J280">
        <v>4500</v>
      </c>
      <c r="K280">
        <v>3</v>
      </c>
      <c r="L280">
        <v>13500</v>
      </c>
      <c r="M280" t="s">
        <v>24</v>
      </c>
      <c r="N280">
        <v>3</v>
      </c>
      <c r="O280" t="s">
        <v>25</v>
      </c>
      <c r="P280" t="str">
        <f>TEXT(Hospitalitydata[[#This Row],[Booking_Date]],"mmm")</f>
        <v>Mar</v>
      </c>
    </row>
    <row r="281" spans="1:16" x14ac:dyDescent="0.3">
      <c r="A281" t="s">
        <v>660</v>
      </c>
      <c r="B281" t="s">
        <v>244</v>
      </c>
      <c r="C281" t="s">
        <v>586</v>
      </c>
      <c r="D281" t="s">
        <v>50</v>
      </c>
      <c r="E281" t="s">
        <v>127</v>
      </c>
      <c r="F281" t="s">
        <v>31</v>
      </c>
      <c r="G281" t="s">
        <v>21</v>
      </c>
      <c r="H281" t="s">
        <v>45</v>
      </c>
      <c r="I281" t="s">
        <v>38</v>
      </c>
      <c r="J281">
        <v>2500</v>
      </c>
      <c r="K281">
        <v>7</v>
      </c>
      <c r="L281">
        <v>17500</v>
      </c>
      <c r="M281" t="s">
        <v>24</v>
      </c>
      <c r="N281">
        <v>3</v>
      </c>
      <c r="O281" t="s">
        <v>25</v>
      </c>
      <c r="P281" t="str">
        <f>TEXT(Hospitalitydata[[#This Row],[Booking_Date]],"mmm")</f>
        <v>Jun</v>
      </c>
    </row>
    <row r="282" spans="1:16" x14ac:dyDescent="0.3">
      <c r="A282" t="s">
        <v>661</v>
      </c>
      <c r="B282" t="s">
        <v>399</v>
      </c>
      <c r="C282" t="s">
        <v>452</v>
      </c>
      <c r="D282" t="s">
        <v>662</v>
      </c>
      <c r="E282" t="s">
        <v>30</v>
      </c>
      <c r="F282" t="s">
        <v>53</v>
      </c>
      <c r="G282" t="s">
        <v>44</v>
      </c>
      <c r="H282" t="s">
        <v>63</v>
      </c>
      <c r="I282" t="s">
        <v>46</v>
      </c>
      <c r="J282">
        <v>2500</v>
      </c>
      <c r="K282">
        <v>3</v>
      </c>
      <c r="L282">
        <v>7500</v>
      </c>
      <c r="M282" t="s">
        <v>47</v>
      </c>
      <c r="N282">
        <v>3</v>
      </c>
      <c r="O282" t="s">
        <v>48</v>
      </c>
      <c r="P282" t="str">
        <f>TEXT(Hospitalitydata[[#This Row],[Booking_Date]],"mmm")</f>
        <v>Feb</v>
      </c>
    </row>
    <row r="283" spans="1:16" x14ac:dyDescent="0.3">
      <c r="A283" t="s">
        <v>663</v>
      </c>
      <c r="B283" t="s">
        <v>175</v>
      </c>
      <c r="C283" t="s">
        <v>251</v>
      </c>
      <c r="D283" t="s">
        <v>575</v>
      </c>
      <c r="E283" t="s">
        <v>37</v>
      </c>
      <c r="F283" t="s">
        <v>87</v>
      </c>
      <c r="G283" t="s">
        <v>21</v>
      </c>
      <c r="H283" t="s">
        <v>22</v>
      </c>
      <c r="I283" t="s">
        <v>33</v>
      </c>
      <c r="J283">
        <v>9000</v>
      </c>
      <c r="K283">
        <v>7</v>
      </c>
      <c r="L283">
        <v>63000</v>
      </c>
      <c r="M283" t="s">
        <v>47</v>
      </c>
      <c r="N283">
        <v>2</v>
      </c>
      <c r="O283" t="s">
        <v>48</v>
      </c>
      <c r="P283" t="str">
        <f>TEXT(Hospitalitydata[[#This Row],[Booking_Date]],"mmm")</f>
        <v>Aug</v>
      </c>
    </row>
    <row r="284" spans="1:16" x14ac:dyDescent="0.3">
      <c r="A284" t="s">
        <v>664</v>
      </c>
      <c r="B284" t="s">
        <v>574</v>
      </c>
      <c r="C284" t="s">
        <v>162</v>
      </c>
      <c r="D284" t="s">
        <v>114</v>
      </c>
      <c r="E284" t="s">
        <v>127</v>
      </c>
      <c r="F284" t="s">
        <v>31</v>
      </c>
      <c r="G284" t="s">
        <v>32</v>
      </c>
      <c r="H284" t="s">
        <v>63</v>
      </c>
      <c r="I284" t="s">
        <v>38</v>
      </c>
      <c r="J284">
        <v>5500</v>
      </c>
      <c r="K284">
        <v>2</v>
      </c>
      <c r="L284">
        <v>11000</v>
      </c>
      <c r="M284" t="s">
        <v>47</v>
      </c>
      <c r="N284">
        <v>3</v>
      </c>
      <c r="O284" t="s">
        <v>48</v>
      </c>
      <c r="P284" t="str">
        <f>TEXT(Hospitalitydata[[#This Row],[Booking_Date]],"mmm")</f>
        <v>Sep</v>
      </c>
    </row>
    <row r="285" spans="1:16" x14ac:dyDescent="0.3">
      <c r="A285" t="s">
        <v>665</v>
      </c>
      <c r="B285" t="s">
        <v>110</v>
      </c>
      <c r="C285" t="s">
        <v>292</v>
      </c>
      <c r="D285" t="s">
        <v>241</v>
      </c>
      <c r="E285" t="s">
        <v>19</v>
      </c>
      <c r="F285" t="s">
        <v>31</v>
      </c>
      <c r="G285" t="s">
        <v>21</v>
      </c>
      <c r="H285" t="s">
        <v>45</v>
      </c>
      <c r="I285" t="s">
        <v>23</v>
      </c>
      <c r="J285">
        <v>5500</v>
      </c>
      <c r="K285">
        <v>7</v>
      </c>
      <c r="L285">
        <v>38500</v>
      </c>
      <c r="M285" t="s">
        <v>24</v>
      </c>
      <c r="N285">
        <v>5</v>
      </c>
      <c r="O285" t="s">
        <v>25</v>
      </c>
      <c r="P285" t="str">
        <f>TEXT(Hospitalitydata[[#This Row],[Booking_Date]],"mmm")</f>
        <v>May</v>
      </c>
    </row>
    <row r="286" spans="1:16" x14ac:dyDescent="0.3">
      <c r="A286" t="s">
        <v>666</v>
      </c>
      <c r="B286" t="s">
        <v>69</v>
      </c>
      <c r="C286" t="s">
        <v>272</v>
      </c>
      <c r="D286" t="s">
        <v>256</v>
      </c>
      <c r="E286" t="s">
        <v>43</v>
      </c>
      <c r="F286" t="s">
        <v>53</v>
      </c>
      <c r="G286" t="s">
        <v>21</v>
      </c>
      <c r="H286" t="s">
        <v>63</v>
      </c>
      <c r="I286" t="s">
        <v>33</v>
      </c>
      <c r="J286">
        <v>5500</v>
      </c>
      <c r="K286">
        <v>2</v>
      </c>
      <c r="L286">
        <v>11000</v>
      </c>
      <c r="M286" t="s">
        <v>24</v>
      </c>
      <c r="N286">
        <v>5</v>
      </c>
      <c r="O286" t="s">
        <v>25</v>
      </c>
      <c r="P286" t="str">
        <f>TEXT(Hospitalitydata[[#This Row],[Booking_Date]],"mmm")</f>
        <v>Aug</v>
      </c>
    </row>
    <row r="287" spans="1:16" x14ac:dyDescent="0.3">
      <c r="A287" t="s">
        <v>667</v>
      </c>
      <c r="B287" t="s">
        <v>391</v>
      </c>
      <c r="C287" t="s">
        <v>208</v>
      </c>
      <c r="D287" t="s">
        <v>668</v>
      </c>
      <c r="E287" t="s">
        <v>127</v>
      </c>
      <c r="F287" t="s">
        <v>53</v>
      </c>
      <c r="G287" t="s">
        <v>32</v>
      </c>
      <c r="H287" t="s">
        <v>63</v>
      </c>
      <c r="I287" t="s">
        <v>38</v>
      </c>
      <c r="J287">
        <v>4500</v>
      </c>
      <c r="K287">
        <v>2</v>
      </c>
      <c r="L287">
        <v>9000</v>
      </c>
      <c r="M287" t="s">
        <v>24</v>
      </c>
      <c r="N287">
        <v>5</v>
      </c>
      <c r="O287" t="s">
        <v>25</v>
      </c>
      <c r="P287" t="str">
        <f>TEXT(Hospitalitydata[[#This Row],[Booking_Date]],"mmm")</f>
        <v>Nov</v>
      </c>
    </row>
    <row r="288" spans="1:16" x14ac:dyDescent="0.3">
      <c r="A288" t="s">
        <v>669</v>
      </c>
      <c r="B288" t="s">
        <v>381</v>
      </c>
      <c r="C288" t="s">
        <v>413</v>
      </c>
      <c r="D288" t="s">
        <v>28</v>
      </c>
      <c r="E288" t="s">
        <v>30</v>
      </c>
      <c r="F288" t="s">
        <v>20</v>
      </c>
      <c r="G288" t="s">
        <v>44</v>
      </c>
      <c r="H288" t="s">
        <v>22</v>
      </c>
      <c r="I288" t="s">
        <v>23</v>
      </c>
      <c r="J288">
        <v>7000</v>
      </c>
      <c r="K288">
        <v>5</v>
      </c>
      <c r="L288">
        <v>35000</v>
      </c>
      <c r="M288" t="s">
        <v>47</v>
      </c>
      <c r="N288">
        <v>4</v>
      </c>
      <c r="O288" t="s">
        <v>48</v>
      </c>
      <c r="P288" t="str">
        <f>TEXT(Hospitalitydata[[#This Row],[Booking_Date]],"mmm")</f>
        <v>Oct</v>
      </c>
    </row>
    <row r="289" spans="1:16" x14ac:dyDescent="0.3">
      <c r="A289" t="s">
        <v>670</v>
      </c>
      <c r="B289" t="s">
        <v>131</v>
      </c>
      <c r="C289" t="s">
        <v>532</v>
      </c>
      <c r="D289" t="s">
        <v>78</v>
      </c>
      <c r="E289" t="s">
        <v>30</v>
      </c>
      <c r="F289" t="s">
        <v>20</v>
      </c>
      <c r="G289" t="s">
        <v>21</v>
      </c>
      <c r="H289" t="s">
        <v>22</v>
      </c>
      <c r="I289" t="s">
        <v>38</v>
      </c>
      <c r="J289">
        <v>9000</v>
      </c>
      <c r="K289">
        <v>2</v>
      </c>
      <c r="L289">
        <v>18000</v>
      </c>
      <c r="M289" t="s">
        <v>24</v>
      </c>
      <c r="N289">
        <v>3</v>
      </c>
      <c r="O289" t="s">
        <v>25</v>
      </c>
      <c r="P289" t="str">
        <f>TEXT(Hospitalitydata[[#This Row],[Booking_Date]],"mmm")</f>
        <v>Feb</v>
      </c>
    </row>
    <row r="290" spans="1:16" x14ac:dyDescent="0.3">
      <c r="A290" t="s">
        <v>671</v>
      </c>
      <c r="B290" t="s">
        <v>586</v>
      </c>
      <c r="C290" t="s">
        <v>82</v>
      </c>
      <c r="D290" t="s">
        <v>52</v>
      </c>
      <c r="E290" t="s">
        <v>19</v>
      </c>
      <c r="F290" t="s">
        <v>31</v>
      </c>
      <c r="G290" t="s">
        <v>21</v>
      </c>
      <c r="H290" t="s">
        <v>22</v>
      </c>
      <c r="I290" t="s">
        <v>33</v>
      </c>
      <c r="J290">
        <v>2500</v>
      </c>
      <c r="K290">
        <v>4</v>
      </c>
      <c r="L290">
        <v>10000</v>
      </c>
      <c r="M290" t="s">
        <v>24</v>
      </c>
      <c r="N290">
        <v>4</v>
      </c>
      <c r="O290" t="s">
        <v>25</v>
      </c>
      <c r="P290" t="str">
        <f>TEXT(Hospitalitydata[[#This Row],[Booking_Date]],"mmm")</f>
        <v>Jun</v>
      </c>
    </row>
    <row r="291" spans="1:16" x14ac:dyDescent="0.3">
      <c r="A291" t="s">
        <v>672</v>
      </c>
      <c r="B291" t="s">
        <v>445</v>
      </c>
      <c r="C291" t="s">
        <v>250</v>
      </c>
      <c r="D291" t="s">
        <v>673</v>
      </c>
      <c r="E291" t="s">
        <v>30</v>
      </c>
      <c r="F291" t="s">
        <v>62</v>
      </c>
      <c r="G291" t="s">
        <v>44</v>
      </c>
      <c r="H291" t="s">
        <v>45</v>
      </c>
      <c r="I291" t="s">
        <v>38</v>
      </c>
      <c r="J291">
        <v>5500</v>
      </c>
      <c r="K291">
        <v>4</v>
      </c>
      <c r="L291">
        <v>22000</v>
      </c>
      <c r="M291" t="s">
        <v>24</v>
      </c>
      <c r="N291">
        <v>5</v>
      </c>
      <c r="O291" t="s">
        <v>25</v>
      </c>
      <c r="P291" t="str">
        <f>TEXT(Hospitalitydata[[#This Row],[Booking_Date]],"mmm")</f>
        <v>Aug</v>
      </c>
    </row>
    <row r="292" spans="1:16" x14ac:dyDescent="0.3">
      <c r="A292" t="s">
        <v>674</v>
      </c>
      <c r="B292" t="s">
        <v>423</v>
      </c>
      <c r="C292" t="s">
        <v>606</v>
      </c>
      <c r="D292" t="s">
        <v>156</v>
      </c>
      <c r="E292" t="s">
        <v>19</v>
      </c>
      <c r="F292" t="s">
        <v>87</v>
      </c>
      <c r="G292" t="s">
        <v>44</v>
      </c>
      <c r="H292" t="s">
        <v>63</v>
      </c>
      <c r="I292" t="s">
        <v>38</v>
      </c>
      <c r="J292">
        <v>2500</v>
      </c>
      <c r="K292">
        <v>4</v>
      </c>
      <c r="L292">
        <v>10000</v>
      </c>
      <c r="M292" t="s">
        <v>24</v>
      </c>
      <c r="N292">
        <v>5</v>
      </c>
      <c r="O292" t="s">
        <v>25</v>
      </c>
      <c r="P292" t="str">
        <f>TEXT(Hospitalitydata[[#This Row],[Booking_Date]],"mmm")</f>
        <v>Feb</v>
      </c>
    </row>
    <row r="293" spans="1:16" x14ac:dyDescent="0.3">
      <c r="A293" t="s">
        <v>675</v>
      </c>
      <c r="B293" t="s">
        <v>237</v>
      </c>
      <c r="C293" t="s">
        <v>432</v>
      </c>
      <c r="D293" t="s">
        <v>253</v>
      </c>
      <c r="E293" t="s">
        <v>127</v>
      </c>
      <c r="F293" t="s">
        <v>87</v>
      </c>
      <c r="G293" t="s">
        <v>32</v>
      </c>
      <c r="H293" t="s">
        <v>63</v>
      </c>
      <c r="I293" t="s">
        <v>23</v>
      </c>
      <c r="J293">
        <v>4500</v>
      </c>
      <c r="K293">
        <v>4</v>
      </c>
      <c r="L293">
        <v>18000</v>
      </c>
      <c r="M293" t="s">
        <v>24</v>
      </c>
      <c r="N293">
        <v>4</v>
      </c>
      <c r="O293" t="s">
        <v>25</v>
      </c>
      <c r="P293" t="str">
        <f>TEXT(Hospitalitydata[[#This Row],[Booking_Date]],"mmm")</f>
        <v>Apr</v>
      </c>
    </row>
    <row r="294" spans="1:16" x14ac:dyDescent="0.3">
      <c r="A294" t="s">
        <v>676</v>
      </c>
      <c r="B294" t="s">
        <v>448</v>
      </c>
      <c r="C294" t="s">
        <v>395</v>
      </c>
      <c r="D294" t="s">
        <v>677</v>
      </c>
      <c r="E294" t="s">
        <v>19</v>
      </c>
      <c r="F294" t="s">
        <v>62</v>
      </c>
      <c r="G294" t="s">
        <v>21</v>
      </c>
      <c r="H294" t="s">
        <v>45</v>
      </c>
      <c r="I294" t="s">
        <v>33</v>
      </c>
      <c r="J294">
        <v>4500</v>
      </c>
      <c r="K294">
        <v>1</v>
      </c>
      <c r="L294">
        <v>4500</v>
      </c>
      <c r="M294" t="s">
        <v>24</v>
      </c>
      <c r="N294">
        <v>5</v>
      </c>
      <c r="O294" t="s">
        <v>25</v>
      </c>
      <c r="P294" t="str">
        <f>TEXT(Hospitalitydata[[#This Row],[Booking_Date]],"mmm")</f>
        <v>Dec</v>
      </c>
    </row>
    <row r="295" spans="1:16" x14ac:dyDescent="0.3">
      <c r="A295" t="s">
        <v>678</v>
      </c>
      <c r="B295" t="s">
        <v>586</v>
      </c>
      <c r="C295" t="s">
        <v>344</v>
      </c>
      <c r="D295" t="s">
        <v>544</v>
      </c>
      <c r="E295" t="s">
        <v>19</v>
      </c>
      <c r="F295" t="s">
        <v>62</v>
      </c>
      <c r="G295" t="s">
        <v>21</v>
      </c>
      <c r="H295" t="s">
        <v>22</v>
      </c>
      <c r="I295" t="s">
        <v>38</v>
      </c>
      <c r="J295">
        <v>5500</v>
      </c>
      <c r="K295">
        <v>4</v>
      </c>
      <c r="L295">
        <v>22000</v>
      </c>
      <c r="M295" t="s">
        <v>24</v>
      </c>
      <c r="N295">
        <v>4</v>
      </c>
      <c r="O295" t="s">
        <v>25</v>
      </c>
      <c r="P295" t="str">
        <f>TEXT(Hospitalitydata[[#This Row],[Booking_Date]],"mmm")</f>
        <v>Jun</v>
      </c>
    </row>
    <row r="296" spans="1:16" x14ac:dyDescent="0.3">
      <c r="A296" t="s">
        <v>679</v>
      </c>
      <c r="B296" t="s">
        <v>354</v>
      </c>
      <c r="C296" t="s">
        <v>338</v>
      </c>
      <c r="D296" t="s">
        <v>352</v>
      </c>
      <c r="E296" t="s">
        <v>30</v>
      </c>
      <c r="F296" t="s">
        <v>53</v>
      </c>
      <c r="G296" t="s">
        <v>44</v>
      </c>
      <c r="H296" t="s">
        <v>45</v>
      </c>
      <c r="I296" t="s">
        <v>33</v>
      </c>
      <c r="J296">
        <v>7000</v>
      </c>
      <c r="K296">
        <v>6</v>
      </c>
      <c r="L296">
        <v>42000</v>
      </c>
      <c r="M296" t="s">
        <v>47</v>
      </c>
      <c r="N296">
        <v>4</v>
      </c>
      <c r="O296" t="s">
        <v>48</v>
      </c>
      <c r="P296" t="str">
        <f>TEXT(Hospitalitydata[[#This Row],[Booking_Date]],"mmm")</f>
        <v>Jul</v>
      </c>
    </row>
    <row r="297" spans="1:16" x14ac:dyDescent="0.3">
      <c r="A297" t="s">
        <v>680</v>
      </c>
      <c r="B297" t="s">
        <v>237</v>
      </c>
      <c r="C297" t="s">
        <v>608</v>
      </c>
      <c r="D297" t="s">
        <v>681</v>
      </c>
      <c r="E297" t="s">
        <v>30</v>
      </c>
      <c r="F297" t="s">
        <v>20</v>
      </c>
      <c r="G297" t="s">
        <v>21</v>
      </c>
      <c r="H297" t="s">
        <v>45</v>
      </c>
      <c r="I297" t="s">
        <v>46</v>
      </c>
      <c r="J297">
        <v>9000</v>
      </c>
      <c r="K297">
        <v>7</v>
      </c>
      <c r="L297">
        <v>63000</v>
      </c>
      <c r="M297" t="s">
        <v>24</v>
      </c>
      <c r="N297">
        <v>3</v>
      </c>
      <c r="O297" t="s">
        <v>25</v>
      </c>
      <c r="P297" t="str">
        <f>TEXT(Hospitalitydata[[#This Row],[Booking_Date]],"mmm")</f>
        <v>Apr</v>
      </c>
    </row>
    <row r="298" spans="1:16" x14ac:dyDescent="0.3">
      <c r="A298" t="s">
        <v>682</v>
      </c>
      <c r="B298" t="s">
        <v>335</v>
      </c>
      <c r="C298" t="s">
        <v>455</v>
      </c>
      <c r="D298" t="s">
        <v>241</v>
      </c>
      <c r="E298" t="s">
        <v>30</v>
      </c>
      <c r="F298" t="s">
        <v>87</v>
      </c>
      <c r="G298" t="s">
        <v>21</v>
      </c>
      <c r="H298" t="s">
        <v>63</v>
      </c>
      <c r="I298" t="s">
        <v>38</v>
      </c>
      <c r="J298">
        <v>2500</v>
      </c>
      <c r="K298">
        <v>4</v>
      </c>
      <c r="L298">
        <v>10000</v>
      </c>
      <c r="M298" t="s">
        <v>24</v>
      </c>
      <c r="N298">
        <v>4</v>
      </c>
      <c r="O298" t="s">
        <v>25</v>
      </c>
      <c r="P298" t="str">
        <f>TEXT(Hospitalitydata[[#This Row],[Booking_Date]],"mmm")</f>
        <v>Jun</v>
      </c>
    </row>
    <row r="299" spans="1:16" x14ac:dyDescent="0.3">
      <c r="A299" t="s">
        <v>683</v>
      </c>
      <c r="B299" t="s">
        <v>390</v>
      </c>
      <c r="C299" t="s">
        <v>320</v>
      </c>
      <c r="D299" t="s">
        <v>600</v>
      </c>
      <c r="E299" t="s">
        <v>19</v>
      </c>
      <c r="F299" t="s">
        <v>87</v>
      </c>
      <c r="G299" t="s">
        <v>21</v>
      </c>
      <c r="H299" t="s">
        <v>22</v>
      </c>
      <c r="I299" t="s">
        <v>23</v>
      </c>
      <c r="J299">
        <v>4500</v>
      </c>
      <c r="K299">
        <v>3</v>
      </c>
      <c r="L299">
        <v>13500</v>
      </c>
      <c r="M299" t="s">
        <v>24</v>
      </c>
      <c r="N299">
        <v>5</v>
      </c>
      <c r="O299" t="s">
        <v>25</v>
      </c>
      <c r="P299" t="str">
        <f>TEXT(Hospitalitydata[[#This Row],[Booking_Date]],"mmm")</f>
        <v>Oct</v>
      </c>
    </row>
    <row r="300" spans="1:16" x14ac:dyDescent="0.3">
      <c r="A300" t="s">
        <v>684</v>
      </c>
      <c r="B300" t="s">
        <v>190</v>
      </c>
      <c r="C300" t="s">
        <v>89</v>
      </c>
      <c r="D300" t="s">
        <v>66</v>
      </c>
      <c r="E300" t="s">
        <v>19</v>
      </c>
      <c r="F300" t="s">
        <v>87</v>
      </c>
      <c r="G300" t="s">
        <v>21</v>
      </c>
      <c r="H300" t="s">
        <v>45</v>
      </c>
      <c r="I300" t="s">
        <v>38</v>
      </c>
      <c r="J300">
        <v>2500</v>
      </c>
      <c r="K300">
        <v>3</v>
      </c>
      <c r="L300">
        <v>7500</v>
      </c>
      <c r="M300" t="s">
        <v>24</v>
      </c>
      <c r="N300">
        <v>3</v>
      </c>
      <c r="O300" t="s">
        <v>25</v>
      </c>
      <c r="P300" t="str">
        <f>TEXT(Hospitalitydata[[#This Row],[Booking_Date]],"mmm")</f>
        <v>Dec</v>
      </c>
    </row>
    <row r="301" spans="1:16" x14ac:dyDescent="0.3">
      <c r="A301" t="s">
        <v>685</v>
      </c>
      <c r="B301" t="s">
        <v>74</v>
      </c>
      <c r="C301" t="s">
        <v>139</v>
      </c>
      <c r="D301" t="s">
        <v>69</v>
      </c>
      <c r="E301" t="s">
        <v>127</v>
      </c>
      <c r="F301" t="s">
        <v>31</v>
      </c>
      <c r="G301" t="s">
        <v>21</v>
      </c>
      <c r="H301" t="s">
        <v>22</v>
      </c>
      <c r="I301" t="s">
        <v>33</v>
      </c>
      <c r="J301">
        <v>7000</v>
      </c>
      <c r="K301">
        <v>2</v>
      </c>
      <c r="L301">
        <v>14000</v>
      </c>
      <c r="M301" t="s">
        <v>24</v>
      </c>
      <c r="N301">
        <v>3</v>
      </c>
      <c r="O301" t="s">
        <v>25</v>
      </c>
      <c r="P301" t="str">
        <f>TEXT(Hospitalitydata[[#This Row],[Booking_Date]],"mmm")</f>
        <v>Aug</v>
      </c>
    </row>
    <row r="302" spans="1:16" x14ac:dyDescent="0.3">
      <c r="A302" t="s">
        <v>686</v>
      </c>
      <c r="B302" t="s">
        <v>483</v>
      </c>
      <c r="C302" t="s">
        <v>588</v>
      </c>
      <c r="D302" t="s">
        <v>148</v>
      </c>
      <c r="E302" t="s">
        <v>127</v>
      </c>
      <c r="F302" t="s">
        <v>31</v>
      </c>
      <c r="G302" t="s">
        <v>32</v>
      </c>
      <c r="H302" t="s">
        <v>63</v>
      </c>
      <c r="I302" t="s">
        <v>23</v>
      </c>
      <c r="J302">
        <v>4500</v>
      </c>
      <c r="K302">
        <v>4</v>
      </c>
      <c r="L302">
        <v>18000</v>
      </c>
      <c r="M302" t="s">
        <v>24</v>
      </c>
      <c r="N302">
        <v>4</v>
      </c>
      <c r="O302" t="s">
        <v>25</v>
      </c>
      <c r="P302" t="str">
        <f>TEXT(Hospitalitydata[[#This Row],[Booking_Date]],"mmm")</f>
        <v>Oct</v>
      </c>
    </row>
    <row r="303" spans="1:16" x14ac:dyDescent="0.3">
      <c r="A303" t="s">
        <v>687</v>
      </c>
      <c r="B303" t="s">
        <v>409</v>
      </c>
      <c r="C303" t="s">
        <v>113</v>
      </c>
      <c r="D303" t="s">
        <v>461</v>
      </c>
      <c r="E303" t="s">
        <v>127</v>
      </c>
      <c r="F303" t="s">
        <v>53</v>
      </c>
      <c r="G303" t="s">
        <v>44</v>
      </c>
      <c r="H303" t="s">
        <v>22</v>
      </c>
      <c r="I303" t="s">
        <v>38</v>
      </c>
      <c r="J303">
        <v>5500</v>
      </c>
      <c r="K303">
        <v>2</v>
      </c>
      <c r="L303">
        <v>11000</v>
      </c>
      <c r="M303" t="s">
        <v>47</v>
      </c>
      <c r="N303">
        <v>4</v>
      </c>
      <c r="O303" t="s">
        <v>48</v>
      </c>
      <c r="P303" t="str">
        <f>TEXT(Hospitalitydata[[#This Row],[Booking_Date]],"mmm")</f>
        <v>Sep</v>
      </c>
    </row>
    <row r="304" spans="1:16" x14ac:dyDescent="0.3">
      <c r="A304" t="s">
        <v>688</v>
      </c>
      <c r="B304" t="s">
        <v>410</v>
      </c>
      <c r="C304" t="s">
        <v>162</v>
      </c>
      <c r="D304" t="s">
        <v>146</v>
      </c>
      <c r="E304" t="s">
        <v>37</v>
      </c>
      <c r="F304" t="s">
        <v>20</v>
      </c>
      <c r="G304" t="s">
        <v>44</v>
      </c>
      <c r="H304" t="s">
        <v>45</v>
      </c>
      <c r="I304" t="s">
        <v>46</v>
      </c>
      <c r="J304">
        <v>7000</v>
      </c>
      <c r="K304">
        <v>1</v>
      </c>
      <c r="L304">
        <v>7000</v>
      </c>
      <c r="M304" t="s">
        <v>24</v>
      </c>
      <c r="N304">
        <v>3</v>
      </c>
      <c r="O304" t="s">
        <v>25</v>
      </c>
      <c r="P304" t="str">
        <f>TEXT(Hospitalitydata[[#This Row],[Booking_Date]],"mmm")</f>
        <v>Sep</v>
      </c>
    </row>
    <row r="305" spans="1:16" x14ac:dyDescent="0.3">
      <c r="A305" t="s">
        <v>689</v>
      </c>
      <c r="B305" t="s">
        <v>143</v>
      </c>
      <c r="C305" t="s">
        <v>690</v>
      </c>
      <c r="D305" t="s">
        <v>184</v>
      </c>
      <c r="E305" t="s">
        <v>30</v>
      </c>
      <c r="F305" t="s">
        <v>31</v>
      </c>
      <c r="G305" t="s">
        <v>32</v>
      </c>
      <c r="H305" t="s">
        <v>22</v>
      </c>
      <c r="I305" t="s">
        <v>23</v>
      </c>
      <c r="J305">
        <v>7000</v>
      </c>
      <c r="K305">
        <v>4</v>
      </c>
      <c r="L305">
        <v>28000</v>
      </c>
      <c r="M305" t="s">
        <v>24</v>
      </c>
      <c r="N305">
        <v>4</v>
      </c>
      <c r="O305" t="s">
        <v>25</v>
      </c>
      <c r="P305" t="str">
        <f>TEXT(Hospitalitydata[[#This Row],[Booking_Date]],"mmm")</f>
        <v>Mar</v>
      </c>
    </row>
    <row r="306" spans="1:16" x14ac:dyDescent="0.3">
      <c r="A306" t="s">
        <v>691</v>
      </c>
      <c r="B306" t="s">
        <v>402</v>
      </c>
      <c r="C306" t="s">
        <v>282</v>
      </c>
      <c r="D306" t="s">
        <v>204</v>
      </c>
      <c r="E306" t="s">
        <v>127</v>
      </c>
      <c r="F306" t="s">
        <v>31</v>
      </c>
      <c r="G306" t="s">
        <v>32</v>
      </c>
      <c r="H306" t="s">
        <v>63</v>
      </c>
      <c r="I306" t="s">
        <v>23</v>
      </c>
      <c r="J306">
        <v>4500</v>
      </c>
      <c r="K306">
        <v>5</v>
      </c>
      <c r="L306">
        <v>22500</v>
      </c>
      <c r="M306" t="s">
        <v>24</v>
      </c>
      <c r="N306">
        <v>3</v>
      </c>
      <c r="O306" t="s">
        <v>25</v>
      </c>
      <c r="P306" t="str">
        <f>TEXT(Hospitalitydata[[#This Row],[Booking_Date]],"mmm")</f>
        <v>May</v>
      </c>
    </row>
    <row r="307" spans="1:16" x14ac:dyDescent="0.3">
      <c r="A307" t="s">
        <v>692</v>
      </c>
      <c r="B307" t="s">
        <v>208</v>
      </c>
      <c r="C307" t="s">
        <v>642</v>
      </c>
      <c r="D307" t="s">
        <v>270</v>
      </c>
      <c r="E307" t="s">
        <v>127</v>
      </c>
      <c r="F307" t="s">
        <v>87</v>
      </c>
      <c r="G307" t="s">
        <v>44</v>
      </c>
      <c r="H307" t="s">
        <v>45</v>
      </c>
      <c r="I307" t="s">
        <v>38</v>
      </c>
      <c r="J307">
        <v>4500</v>
      </c>
      <c r="K307">
        <v>2</v>
      </c>
      <c r="L307">
        <v>9000</v>
      </c>
      <c r="M307" t="s">
        <v>47</v>
      </c>
      <c r="N307">
        <v>1</v>
      </c>
      <c r="O307" t="s">
        <v>48</v>
      </c>
      <c r="P307" t="str">
        <f>TEXT(Hospitalitydata[[#This Row],[Booking_Date]],"mmm")</f>
        <v>Dec</v>
      </c>
    </row>
    <row r="308" spans="1:16" x14ac:dyDescent="0.3">
      <c r="A308" t="s">
        <v>693</v>
      </c>
      <c r="B308" t="s">
        <v>105</v>
      </c>
      <c r="C308" t="s">
        <v>435</v>
      </c>
      <c r="D308" t="s">
        <v>431</v>
      </c>
      <c r="E308" t="s">
        <v>30</v>
      </c>
      <c r="F308" t="s">
        <v>87</v>
      </c>
      <c r="G308" t="s">
        <v>21</v>
      </c>
      <c r="H308" t="s">
        <v>22</v>
      </c>
      <c r="I308" t="s">
        <v>38</v>
      </c>
      <c r="J308">
        <v>3500</v>
      </c>
      <c r="K308">
        <v>7</v>
      </c>
      <c r="L308">
        <v>24500</v>
      </c>
      <c r="M308" t="s">
        <v>24</v>
      </c>
      <c r="N308">
        <v>5</v>
      </c>
      <c r="O308" t="s">
        <v>25</v>
      </c>
      <c r="P308" t="str">
        <f>TEXT(Hospitalitydata[[#This Row],[Booking_Date]],"mmm")</f>
        <v>Mar</v>
      </c>
    </row>
    <row r="309" spans="1:16" x14ac:dyDescent="0.3">
      <c r="A309" t="s">
        <v>694</v>
      </c>
      <c r="B309" t="s">
        <v>79</v>
      </c>
      <c r="C309" t="s">
        <v>695</v>
      </c>
      <c r="D309" t="s">
        <v>696</v>
      </c>
      <c r="E309" t="s">
        <v>30</v>
      </c>
      <c r="F309" t="s">
        <v>87</v>
      </c>
      <c r="G309" t="s">
        <v>21</v>
      </c>
      <c r="H309" t="s">
        <v>63</v>
      </c>
      <c r="I309" t="s">
        <v>33</v>
      </c>
      <c r="J309">
        <v>3500</v>
      </c>
      <c r="K309">
        <v>2</v>
      </c>
      <c r="L309">
        <v>7000</v>
      </c>
      <c r="M309" t="s">
        <v>24</v>
      </c>
      <c r="N309">
        <v>3</v>
      </c>
      <c r="O309" t="s">
        <v>25</v>
      </c>
      <c r="P309" t="str">
        <f>TEXT(Hospitalitydata[[#This Row],[Booking_Date]],"mmm")</f>
        <v>Mar</v>
      </c>
    </row>
    <row r="310" spans="1:16" x14ac:dyDescent="0.3">
      <c r="A310" t="s">
        <v>697</v>
      </c>
      <c r="B310" t="s">
        <v>291</v>
      </c>
      <c r="C310" t="s">
        <v>168</v>
      </c>
      <c r="D310" t="s">
        <v>544</v>
      </c>
      <c r="E310" t="s">
        <v>43</v>
      </c>
      <c r="F310" t="s">
        <v>62</v>
      </c>
      <c r="G310" t="s">
        <v>44</v>
      </c>
      <c r="H310" t="s">
        <v>45</v>
      </c>
      <c r="I310" t="s">
        <v>46</v>
      </c>
      <c r="J310">
        <v>4500</v>
      </c>
      <c r="K310">
        <v>3</v>
      </c>
      <c r="L310">
        <v>13500</v>
      </c>
      <c r="M310" t="s">
        <v>24</v>
      </c>
      <c r="N310">
        <v>5</v>
      </c>
      <c r="O310" t="s">
        <v>25</v>
      </c>
      <c r="P310" t="str">
        <f>TEXT(Hospitalitydata[[#This Row],[Booking_Date]],"mmm")</f>
        <v>Jun</v>
      </c>
    </row>
    <row r="311" spans="1:16" x14ac:dyDescent="0.3">
      <c r="A311" t="s">
        <v>698</v>
      </c>
      <c r="B311" t="s">
        <v>502</v>
      </c>
      <c r="C311" t="s">
        <v>225</v>
      </c>
      <c r="D311" t="s">
        <v>226</v>
      </c>
      <c r="E311" t="s">
        <v>37</v>
      </c>
      <c r="F311" t="s">
        <v>62</v>
      </c>
      <c r="G311" t="s">
        <v>21</v>
      </c>
      <c r="H311" t="s">
        <v>63</v>
      </c>
      <c r="I311" t="s">
        <v>38</v>
      </c>
      <c r="J311">
        <v>3500</v>
      </c>
      <c r="K311">
        <v>6</v>
      </c>
      <c r="L311">
        <v>21000</v>
      </c>
      <c r="M311" t="s">
        <v>24</v>
      </c>
      <c r="N311">
        <v>5</v>
      </c>
      <c r="O311" t="s">
        <v>25</v>
      </c>
      <c r="P311" t="str">
        <f>TEXT(Hospitalitydata[[#This Row],[Booking_Date]],"mmm")</f>
        <v>Dec</v>
      </c>
    </row>
    <row r="312" spans="1:16" x14ac:dyDescent="0.3">
      <c r="A312" t="s">
        <v>699</v>
      </c>
      <c r="B312" t="s">
        <v>424</v>
      </c>
      <c r="C312" t="s">
        <v>183</v>
      </c>
      <c r="D312" t="s">
        <v>99</v>
      </c>
      <c r="E312" t="s">
        <v>127</v>
      </c>
      <c r="F312" t="s">
        <v>20</v>
      </c>
      <c r="G312" t="s">
        <v>21</v>
      </c>
      <c r="H312" t="s">
        <v>45</v>
      </c>
      <c r="I312" t="s">
        <v>38</v>
      </c>
      <c r="J312">
        <v>4500</v>
      </c>
      <c r="K312">
        <v>6</v>
      </c>
      <c r="L312">
        <v>27000</v>
      </c>
      <c r="M312" t="s">
        <v>24</v>
      </c>
      <c r="N312">
        <v>4</v>
      </c>
      <c r="O312" t="s">
        <v>25</v>
      </c>
      <c r="P312" t="str">
        <f>TEXT(Hospitalitydata[[#This Row],[Booking_Date]],"mmm")</f>
        <v>Mar</v>
      </c>
    </row>
    <row r="313" spans="1:16" x14ac:dyDescent="0.3">
      <c r="A313" t="s">
        <v>700</v>
      </c>
      <c r="B313" t="s">
        <v>120</v>
      </c>
      <c r="C313" t="s">
        <v>147</v>
      </c>
      <c r="D313" t="s">
        <v>588</v>
      </c>
      <c r="E313" t="s">
        <v>127</v>
      </c>
      <c r="F313" t="s">
        <v>53</v>
      </c>
      <c r="G313" t="s">
        <v>44</v>
      </c>
      <c r="H313" t="s">
        <v>22</v>
      </c>
      <c r="I313" t="s">
        <v>23</v>
      </c>
      <c r="J313">
        <v>9000</v>
      </c>
      <c r="K313">
        <v>3</v>
      </c>
      <c r="L313">
        <v>27000</v>
      </c>
      <c r="M313" t="s">
        <v>47</v>
      </c>
      <c r="N313">
        <v>3</v>
      </c>
      <c r="O313" t="s">
        <v>48</v>
      </c>
      <c r="P313" t="str">
        <f>TEXT(Hospitalitydata[[#This Row],[Booking_Date]],"mmm")</f>
        <v>Sep</v>
      </c>
    </row>
    <row r="314" spans="1:16" x14ac:dyDescent="0.3">
      <c r="A314" t="s">
        <v>701</v>
      </c>
      <c r="B314" t="s">
        <v>212</v>
      </c>
      <c r="C314" t="s">
        <v>630</v>
      </c>
      <c r="D314" t="s">
        <v>196</v>
      </c>
      <c r="E314" t="s">
        <v>43</v>
      </c>
      <c r="F314" t="s">
        <v>31</v>
      </c>
      <c r="G314" t="s">
        <v>44</v>
      </c>
      <c r="H314" t="s">
        <v>45</v>
      </c>
      <c r="I314" t="s">
        <v>38</v>
      </c>
      <c r="J314">
        <v>9000</v>
      </c>
      <c r="K314">
        <v>4</v>
      </c>
      <c r="L314">
        <v>36000</v>
      </c>
      <c r="M314" t="s">
        <v>24</v>
      </c>
      <c r="N314">
        <v>4</v>
      </c>
      <c r="O314" t="s">
        <v>25</v>
      </c>
      <c r="P314" t="str">
        <f>TEXT(Hospitalitydata[[#This Row],[Booking_Date]],"mmm")</f>
        <v>Feb</v>
      </c>
    </row>
    <row r="315" spans="1:16" x14ac:dyDescent="0.3">
      <c r="A315" t="s">
        <v>702</v>
      </c>
      <c r="B315" t="s">
        <v>108</v>
      </c>
      <c r="C315" t="s">
        <v>577</v>
      </c>
      <c r="D315" t="s">
        <v>703</v>
      </c>
      <c r="E315" t="s">
        <v>30</v>
      </c>
      <c r="F315" t="s">
        <v>31</v>
      </c>
      <c r="G315" t="s">
        <v>32</v>
      </c>
      <c r="H315" t="s">
        <v>22</v>
      </c>
      <c r="I315" t="s">
        <v>38</v>
      </c>
      <c r="J315">
        <v>4500</v>
      </c>
      <c r="K315">
        <v>3</v>
      </c>
      <c r="L315">
        <v>13500</v>
      </c>
      <c r="M315" t="s">
        <v>24</v>
      </c>
      <c r="N315">
        <v>4</v>
      </c>
      <c r="O315" t="s">
        <v>25</v>
      </c>
      <c r="P315" t="str">
        <f>TEXT(Hospitalitydata[[#This Row],[Booking_Date]],"mmm")</f>
        <v>Apr</v>
      </c>
    </row>
    <row r="316" spans="1:16" x14ac:dyDescent="0.3">
      <c r="A316" t="s">
        <v>704</v>
      </c>
      <c r="B316" t="s">
        <v>166</v>
      </c>
      <c r="C316" t="s">
        <v>705</v>
      </c>
      <c r="D316" t="s">
        <v>277</v>
      </c>
      <c r="E316" t="s">
        <v>127</v>
      </c>
      <c r="F316" t="s">
        <v>20</v>
      </c>
      <c r="G316" t="s">
        <v>32</v>
      </c>
      <c r="H316" t="s">
        <v>45</v>
      </c>
      <c r="I316" t="s">
        <v>38</v>
      </c>
      <c r="J316">
        <v>2500</v>
      </c>
      <c r="K316">
        <v>6</v>
      </c>
      <c r="L316">
        <v>15000</v>
      </c>
      <c r="M316" t="s">
        <v>24</v>
      </c>
      <c r="N316">
        <v>5</v>
      </c>
      <c r="O316" t="s">
        <v>25</v>
      </c>
      <c r="P316" t="str">
        <f>TEXT(Hospitalitydata[[#This Row],[Booking_Date]],"mmm")</f>
        <v>Jun</v>
      </c>
    </row>
    <row r="317" spans="1:16" x14ac:dyDescent="0.3">
      <c r="A317" t="s">
        <v>706</v>
      </c>
      <c r="B317" t="s">
        <v>360</v>
      </c>
      <c r="C317" t="s">
        <v>139</v>
      </c>
      <c r="D317" t="s">
        <v>210</v>
      </c>
      <c r="E317" t="s">
        <v>37</v>
      </c>
      <c r="F317" t="s">
        <v>62</v>
      </c>
      <c r="G317" t="s">
        <v>44</v>
      </c>
      <c r="H317" t="s">
        <v>45</v>
      </c>
      <c r="I317" t="s">
        <v>46</v>
      </c>
      <c r="J317">
        <v>3500</v>
      </c>
      <c r="K317">
        <v>4</v>
      </c>
      <c r="L317">
        <v>14000</v>
      </c>
      <c r="M317" t="s">
        <v>47</v>
      </c>
      <c r="N317">
        <v>2</v>
      </c>
      <c r="O317" t="s">
        <v>48</v>
      </c>
      <c r="P317" t="str">
        <f>TEXT(Hospitalitydata[[#This Row],[Booking_Date]],"mmm")</f>
        <v>Aug</v>
      </c>
    </row>
    <row r="318" spans="1:16" x14ac:dyDescent="0.3">
      <c r="A318" t="s">
        <v>707</v>
      </c>
      <c r="B318" t="s">
        <v>527</v>
      </c>
      <c r="C318" t="s">
        <v>508</v>
      </c>
      <c r="D318" t="s">
        <v>522</v>
      </c>
      <c r="E318" t="s">
        <v>43</v>
      </c>
      <c r="F318" t="s">
        <v>53</v>
      </c>
      <c r="G318" t="s">
        <v>21</v>
      </c>
      <c r="H318" t="s">
        <v>63</v>
      </c>
      <c r="I318" t="s">
        <v>33</v>
      </c>
      <c r="J318">
        <v>9000</v>
      </c>
      <c r="K318">
        <v>3</v>
      </c>
      <c r="L318">
        <v>27000</v>
      </c>
      <c r="M318" t="s">
        <v>47</v>
      </c>
      <c r="N318">
        <v>2</v>
      </c>
      <c r="O318" t="s">
        <v>48</v>
      </c>
      <c r="P318" t="str">
        <f>TEXT(Hospitalitydata[[#This Row],[Booking_Date]],"mmm")</f>
        <v>May</v>
      </c>
    </row>
    <row r="319" spans="1:16" x14ac:dyDescent="0.3">
      <c r="A319" t="s">
        <v>708</v>
      </c>
      <c r="B319" t="s">
        <v>490</v>
      </c>
      <c r="C319" t="s">
        <v>250</v>
      </c>
      <c r="D319" t="s">
        <v>154</v>
      </c>
      <c r="E319" t="s">
        <v>127</v>
      </c>
      <c r="F319" t="s">
        <v>20</v>
      </c>
      <c r="G319" t="s">
        <v>32</v>
      </c>
      <c r="H319" t="s">
        <v>22</v>
      </c>
      <c r="I319" t="s">
        <v>33</v>
      </c>
      <c r="J319">
        <v>9000</v>
      </c>
      <c r="K319">
        <v>1</v>
      </c>
      <c r="L319">
        <v>9000</v>
      </c>
      <c r="M319" t="s">
        <v>24</v>
      </c>
      <c r="N319">
        <v>3</v>
      </c>
      <c r="O319" t="s">
        <v>25</v>
      </c>
      <c r="P319" t="str">
        <f>TEXT(Hospitalitydata[[#This Row],[Booking_Date]],"mmm")</f>
        <v>Aug</v>
      </c>
    </row>
    <row r="320" spans="1:16" x14ac:dyDescent="0.3">
      <c r="A320" t="s">
        <v>709</v>
      </c>
      <c r="B320" t="s">
        <v>328</v>
      </c>
      <c r="C320" t="s">
        <v>147</v>
      </c>
      <c r="D320" t="s">
        <v>134</v>
      </c>
      <c r="E320" t="s">
        <v>43</v>
      </c>
      <c r="F320" t="s">
        <v>53</v>
      </c>
      <c r="G320" t="s">
        <v>21</v>
      </c>
      <c r="H320" t="s">
        <v>45</v>
      </c>
      <c r="I320" t="s">
        <v>38</v>
      </c>
      <c r="J320">
        <v>2500</v>
      </c>
      <c r="K320">
        <v>4</v>
      </c>
      <c r="L320">
        <v>10000</v>
      </c>
      <c r="M320" t="s">
        <v>24</v>
      </c>
      <c r="N320">
        <v>4</v>
      </c>
      <c r="O320" t="s">
        <v>25</v>
      </c>
      <c r="P320" t="str">
        <f>TEXT(Hospitalitydata[[#This Row],[Booking_Date]],"mmm")</f>
        <v>Sep</v>
      </c>
    </row>
    <row r="321" spans="1:16" x14ac:dyDescent="0.3">
      <c r="A321" t="s">
        <v>710</v>
      </c>
      <c r="B321" t="s">
        <v>312</v>
      </c>
      <c r="C321" t="s">
        <v>397</v>
      </c>
      <c r="D321" t="s">
        <v>711</v>
      </c>
      <c r="E321" t="s">
        <v>43</v>
      </c>
      <c r="F321" t="s">
        <v>87</v>
      </c>
      <c r="G321" t="s">
        <v>44</v>
      </c>
      <c r="H321" t="s">
        <v>63</v>
      </c>
      <c r="I321" t="s">
        <v>33</v>
      </c>
      <c r="J321">
        <v>2500</v>
      </c>
      <c r="K321">
        <v>4</v>
      </c>
      <c r="L321">
        <v>10000</v>
      </c>
      <c r="M321" t="s">
        <v>24</v>
      </c>
      <c r="N321">
        <v>3</v>
      </c>
      <c r="O321" t="s">
        <v>25</v>
      </c>
      <c r="P321" t="str">
        <f>TEXT(Hospitalitydata[[#This Row],[Booking_Date]],"mmm")</f>
        <v>Feb</v>
      </c>
    </row>
    <row r="322" spans="1:16" x14ac:dyDescent="0.3">
      <c r="A322" t="s">
        <v>712</v>
      </c>
      <c r="B322" t="s">
        <v>82</v>
      </c>
      <c r="C322" t="s">
        <v>175</v>
      </c>
      <c r="D322" t="s">
        <v>359</v>
      </c>
      <c r="E322" t="s">
        <v>19</v>
      </c>
      <c r="F322" t="s">
        <v>20</v>
      </c>
      <c r="G322" t="s">
        <v>21</v>
      </c>
      <c r="H322" t="s">
        <v>22</v>
      </c>
      <c r="I322" t="s">
        <v>23</v>
      </c>
      <c r="J322">
        <v>3500</v>
      </c>
      <c r="K322">
        <v>7</v>
      </c>
      <c r="L322">
        <v>24500</v>
      </c>
      <c r="M322" t="s">
        <v>24</v>
      </c>
      <c r="N322">
        <v>5</v>
      </c>
      <c r="O322" t="s">
        <v>25</v>
      </c>
      <c r="P322" t="str">
        <f>TEXT(Hospitalitydata[[#This Row],[Booking_Date]],"mmm")</f>
        <v>Jul</v>
      </c>
    </row>
    <row r="323" spans="1:16" x14ac:dyDescent="0.3">
      <c r="A323" t="s">
        <v>713</v>
      </c>
      <c r="B323" t="s">
        <v>86</v>
      </c>
      <c r="C323" t="s">
        <v>539</v>
      </c>
      <c r="D323" t="s">
        <v>502</v>
      </c>
      <c r="E323" t="s">
        <v>19</v>
      </c>
      <c r="F323" t="s">
        <v>53</v>
      </c>
      <c r="G323" t="s">
        <v>21</v>
      </c>
      <c r="H323" t="s">
        <v>22</v>
      </c>
      <c r="I323" t="s">
        <v>38</v>
      </c>
      <c r="J323">
        <v>5500</v>
      </c>
      <c r="K323">
        <v>2</v>
      </c>
      <c r="L323">
        <v>11000</v>
      </c>
      <c r="M323" t="s">
        <v>24</v>
      </c>
      <c r="N323">
        <v>3</v>
      </c>
      <c r="O323" t="s">
        <v>25</v>
      </c>
      <c r="P323" t="str">
        <f>TEXT(Hospitalitydata[[#This Row],[Booking_Date]],"mmm")</f>
        <v>Nov</v>
      </c>
    </row>
    <row r="324" spans="1:16" x14ac:dyDescent="0.3">
      <c r="A324" t="s">
        <v>714</v>
      </c>
      <c r="B324" t="s">
        <v>690</v>
      </c>
      <c r="C324" t="s">
        <v>608</v>
      </c>
      <c r="D324" t="s">
        <v>184</v>
      </c>
      <c r="E324" t="s">
        <v>127</v>
      </c>
      <c r="F324" t="s">
        <v>87</v>
      </c>
      <c r="G324" t="s">
        <v>44</v>
      </c>
      <c r="H324" t="s">
        <v>63</v>
      </c>
      <c r="I324" t="s">
        <v>33</v>
      </c>
      <c r="J324">
        <v>3500</v>
      </c>
      <c r="K324">
        <v>1</v>
      </c>
      <c r="L324">
        <v>3500</v>
      </c>
      <c r="M324" t="s">
        <v>24</v>
      </c>
      <c r="N324">
        <v>5</v>
      </c>
      <c r="O324" t="s">
        <v>25</v>
      </c>
      <c r="P324" t="str">
        <f>TEXT(Hospitalitydata[[#This Row],[Booking_Date]],"mmm")</f>
        <v>Apr</v>
      </c>
    </row>
    <row r="325" spans="1:16" x14ac:dyDescent="0.3">
      <c r="A325" t="s">
        <v>715</v>
      </c>
      <c r="B325" t="s">
        <v>253</v>
      </c>
      <c r="C325" t="s">
        <v>373</v>
      </c>
      <c r="D325" t="s">
        <v>170</v>
      </c>
      <c r="E325" t="s">
        <v>30</v>
      </c>
      <c r="F325" t="s">
        <v>31</v>
      </c>
      <c r="G325" t="s">
        <v>44</v>
      </c>
      <c r="H325" t="s">
        <v>22</v>
      </c>
      <c r="I325" t="s">
        <v>23</v>
      </c>
      <c r="J325">
        <v>2500</v>
      </c>
      <c r="K325">
        <v>6</v>
      </c>
      <c r="L325">
        <v>15000</v>
      </c>
      <c r="M325" t="s">
        <v>24</v>
      </c>
      <c r="N325">
        <v>5</v>
      </c>
      <c r="O325" t="s">
        <v>25</v>
      </c>
      <c r="P325" t="str">
        <f>TEXT(Hospitalitydata[[#This Row],[Booking_Date]],"mmm")</f>
        <v>May</v>
      </c>
    </row>
    <row r="326" spans="1:16" x14ac:dyDescent="0.3">
      <c r="A326" t="s">
        <v>716</v>
      </c>
      <c r="B326" t="s">
        <v>189</v>
      </c>
      <c r="C326" t="s">
        <v>235</v>
      </c>
      <c r="D326" t="s">
        <v>439</v>
      </c>
      <c r="E326" t="s">
        <v>19</v>
      </c>
      <c r="F326" t="s">
        <v>53</v>
      </c>
      <c r="G326" t="s">
        <v>44</v>
      </c>
      <c r="H326" t="s">
        <v>22</v>
      </c>
      <c r="I326" t="s">
        <v>23</v>
      </c>
      <c r="J326">
        <v>3500</v>
      </c>
      <c r="K326">
        <v>3</v>
      </c>
      <c r="L326">
        <v>10500</v>
      </c>
      <c r="M326" t="s">
        <v>24</v>
      </c>
      <c r="N326">
        <v>5</v>
      </c>
      <c r="O326" t="s">
        <v>25</v>
      </c>
      <c r="P326" t="str">
        <f>TEXT(Hospitalitydata[[#This Row],[Booking_Date]],"mmm")</f>
        <v>Dec</v>
      </c>
    </row>
    <row r="327" spans="1:16" x14ac:dyDescent="0.3">
      <c r="A327" t="s">
        <v>717</v>
      </c>
      <c r="B327" t="s">
        <v>432</v>
      </c>
      <c r="C327" t="s">
        <v>109</v>
      </c>
      <c r="D327" t="s">
        <v>498</v>
      </c>
      <c r="E327" t="s">
        <v>30</v>
      </c>
      <c r="F327" t="s">
        <v>20</v>
      </c>
      <c r="G327" t="s">
        <v>21</v>
      </c>
      <c r="H327" t="s">
        <v>45</v>
      </c>
      <c r="I327" t="s">
        <v>46</v>
      </c>
      <c r="J327">
        <v>2500</v>
      </c>
      <c r="K327">
        <v>4</v>
      </c>
      <c r="L327">
        <v>10000</v>
      </c>
      <c r="M327" t="s">
        <v>24</v>
      </c>
      <c r="N327">
        <v>5</v>
      </c>
      <c r="O327" t="s">
        <v>25</v>
      </c>
      <c r="P327" t="str">
        <f>TEXT(Hospitalitydata[[#This Row],[Booking_Date]],"mmm")</f>
        <v>May</v>
      </c>
    </row>
    <row r="328" spans="1:16" x14ac:dyDescent="0.3">
      <c r="A328" t="s">
        <v>718</v>
      </c>
      <c r="B328" t="s">
        <v>282</v>
      </c>
      <c r="C328" t="s">
        <v>204</v>
      </c>
      <c r="D328" t="s">
        <v>719</v>
      </c>
      <c r="E328" t="s">
        <v>19</v>
      </c>
      <c r="F328" t="s">
        <v>53</v>
      </c>
      <c r="G328" t="s">
        <v>32</v>
      </c>
      <c r="H328" t="s">
        <v>45</v>
      </c>
      <c r="I328" t="s">
        <v>23</v>
      </c>
      <c r="J328">
        <v>7000</v>
      </c>
      <c r="K328">
        <v>4</v>
      </c>
      <c r="L328">
        <v>28000</v>
      </c>
      <c r="M328" t="s">
        <v>24</v>
      </c>
      <c r="N328">
        <v>5</v>
      </c>
      <c r="O328" t="s">
        <v>25</v>
      </c>
      <c r="P328" t="str">
        <f>TEXT(Hospitalitydata[[#This Row],[Booking_Date]],"mmm")</f>
        <v>Jun</v>
      </c>
    </row>
    <row r="329" spans="1:16" x14ac:dyDescent="0.3">
      <c r="A329" t="s">
        <v>720</v>
      </c>
      <c r="B329" t="s">
        <v>622</v>
      </c>
      <c r="C329" t="s">
        <v>623</v>
      </c>
      <c r="D329" t="s">
        <v>505</v>
      </c>
      <c r="E329" t="s">
        <v>30</v>
      </c>
      <c r="F329" t="s">
        <v>87</v>
      </c>
      <c r="G329" t="s">
        <v>21</v>
      </c>
      <c r="H329" t="s">
        <v>22</v>
      </c>
      <c r="I329" t="s">
        <v>38</v>
      </c>
      <c r="J329">
        <v>2500</v>
      </c>
      <c r="K329">
        <v>2</v>
      </c>
      <c r="L329">
        <v>5000</v>
      </c>
      <c r="M329" t="s">
        <v>47</v>
      </c>
      <c r="N329">
        <v>4</v>
      </c>
      <c r="O329" t="s">
        <v>48</v>
      </c>
      <c r="P329" t="str">
        <f>TEXT(Hospitalitydata[[#This Row],[Booking_Date]],"mmm")</f>
        <v>Jan</v>
      </c>
    </row>
    <row r="330" spans="1:16" x14ac:dyDescent="0.3">
      <c r="A330" t="s">
        <v>721</v>
      </c>
      <c r="B330" t="s">
        <v>722</v>
      </c>
      <c r="C330" t="s">
        <v>361</v>
      </c>
      <c r="D330" t="s">
        <v>216</v>
      </c>
      <c r="E330" t="s">
        <v>30</v>
      </c>
      <c r="F330" t="s">
        <v>62</v>
      </c>
      <c r="G330" t="s">
        <v>44</v>
      </c>
      <c r="H330" t="s">
        <v>45</v>
      </c>
      <c r="I330" t="s">
        <v>46</v>
      </c>
      <c r="J330">
        <v>2500</v>
      </c>
      <c r="K330">
        <v>4</v>
      </c>
      <c r="L330">
        <v>10000</v>
      </c>
      <c r="M330" t="s">
        <v>24</v>
      </c>
      <c r="N330">
        <v>5</v>
      </c>
      <c r="O330" t="s">
        <v>25</v>
      </c>
      <c r="P330" t="str">
        <f>TEXT(Hospitalitydata[[#This Row],[Booking_Date]],"mmm")</f>
        <v>Aug</v>
      </c>
    </row>
    <row r="331" spans="1:16" x14ac:dyDescent="0.3">
      <c r="A331" t="s">
        <v>723</v>
      </c>
      <c r="B331" t="s">
        <v>59</v>
      </c>
      <c r="C331" t="s">
        <v>101</v>
      </c>
      <c r="D331" t="s">
        <v>452</v>
      </c>
      <c r="E331" t="s">
        <v>30</v>
      </c>
      <c r="F331" t="s">
        <v>20</v>
      </c>
      <c r="G331" t="s">
        <v>44</v>
      </c>
      <c r="H331" t="s">
        <v>22</v>
      </c>
      <c r="I331" t="s">
        <v>38</v>
      </c>
      <c r="J331">
        <v>3500</v>
      </c>
      <c r="K331">
        <v>2</v>
      </c>
      <c r="L331">
        <v>7000</v>
      </c>
      <c r="M331" t="s">
        <v>24</v>
      </c>
      <c r="N331">
        <v>4</v>
      </c>
      <c r="O331" t="s">
        <v>25</v>
      </c>
      <c r="P331" t="str">
        <f>TEXT(Hospitalitydata[[#This Row],[Booking_Date]],"mmm")</f>
        <v>Feb</v>
      </c>
    </row>
    <row r="332" spans="1:16" x14ac:dyDescent="0.3">
      <c r="A332" t="s">
        <v>724</v>
      </c>
      <c r="B332" t="s">
        <v>432</v>
      </c>
      <c r="C332" t="s">
        <v>577</v>
      </c>
      <c r="D332" t="s">
        <v>253</v>
      </c>
      <c r="E332" t="s">
        <v>127</v>
      </c>
      <c r="F332" t="s">
        <v>31</v>
      </c>
      <c r="G332" t="s">
        <v>21</v>
      </c>
      <c r="H332" t="s">
        <v>45</v>
      </c>
      <c r="I332" t="s">
        <v>46</v>
      </c>
      <c r="J332">
        <v>2500</v>
      </c>
      <c r="K332">
        <v>2</v>
      </c>
      <c r="L332">
        <v>5000</v>
      </c>
      <c r="M332" t="s">
        <v>47</v>
      </c>
      <c r="N332">
        <v>1</v>
      </c>
      <c r="O332" t="s">
        <v>48</v>
      </c>
      <c r="P332" t="str">
        <f>TEXT(Hospitalitydata[[#This Row],[Booking_Date]],"mmm")</f>
        <v>May</v>
      </c>
    </row>
    <row r="333" spans="1:16" x14ac:dyDescent="0.3">
      <c r="A333" t="s">
        <v>725</v>
      </c>
      <c r="B333" t="s">
        <v>56</v>
      </c>
      <c r="C333" t="s">
        <v>394</v>
      </c>
      <c r="D333" t="s">
        <v>314</v>
      </c>
      <c r="E333" t="s">
        <v>19</v>
      </c>
      <c r="F333" t="s">
        <v>20</v>
      </c>
      <c r="G333" t="s">
        <v>32</v>
      </c>
      <c r="H333" t="s">
        <v>63</v>
      </c>
      <c r="I333" t="s">
        <v>46</v>
      </c>
      <c r="J333">
        <v>9000</v>
      </c>
      <c r="K333">
        <v>6</v>
      </c>
      <c r="L333">
        <v>54000</v>
      </c>
      <c r="M333" t="s">
        <v>24</v>
      </c>
      <c r="N333">
        <v>3</v>
      </c>
      <c r="O333" t="s">
        <v>25</v>
      </c>
      <c r="P333" t="str">
        <f>TEXT(Hospitalitydata[[#This Row],[Booking_Date]],"mmm")</f>
        <v>Dec</v>
      </c>
    </row>
    <row r="334" spans="1:16" x14ac:dyDescent="0.3">
      <c r="A334" t="s">
        <v>726</v>
      </c>
      <c r="B334" t="s">
        <v>488</v>
      </c>
      <c r="C334" t="s">
        <v>483</v>
      </c>
      <c r="D334" t="s">
        <v>134</v>
      </c>
      <c r="E334" t="s">
        <v>19</v>
      </c>
      <c r="F334" t="s">
        <v>87</v>
      </c>
      <c r="G334" t="s">
        <v>21</v>
      </c>
      <c r="H334" t="s">
        <v>45</v>
      </c>
      <c r="I334" t="s">
        <v>23</v>
      </c>
      <c r="J334">
        <v>9000</v>
      </c>
      <c r="K334">
        <v>7</v>
      </c>
      <c r="L334">
        <v>63000</v>
      </c>
      <c r="M334" t="s">
        <v>24</v>
      </c>
      <c r="N334">
        <v>4</v>
      </c>
      <c r="O334" t="s">
        <v>25</v>
      </c>
      <c r="P334" t="str">
        <f>TEXT(Hospitalitydata[[#This Row],[Booking_Date]],"mmm")</f>
        <v>Sep</v>
      </c>
    </row>
    <row r="335" spans="1:16" x14ac:dyDescent="0.3">
      <c r="A335" t="s">
        <v>727</v>
      </c>
      <c r="B335" t="s">
        <v>719</v>
      </c>
      <c r="C335" t="s">
        <v>558</v>
      </c>
      <c r="D335" t="s">
        <v>202</v>
      </c>
      <c r="E335" t="s">
        <v>30</v>
      </c>
      <c r="F335" t="s">
        <v>20</v>
      </c>
      <c r="G335" t="s">
        <v>44</v>
      </c>
      <c r="H335" t="s">
        <v>63</v>
      </c>
      <c r="I335" t="s">
        <v>46</v>
      </c>
      <c r="J335">
        <v>4500</v>
      </c>
      <c r="K335">
        <v>4</v>
      </c>
      <c r="L335">
        <v>18000</v>
      </c>
      <c r="M335" t="s">
        <v>24</v>
      </c>
      <c r="N335">
        <v>4</v>
      </c>
      <c r="O335" t="s">
        <v>25</v>
      </c>
      <c r="P335" t="str">
        <f>TEXT(Hospitalitydata[[#This Row],[Booking_Date]],"mmm")</f>
        <v>Jun</v>
      </c>
    </row>
    <row r="336" spans="1:16" x14ac:dyDescent="0.3">
      <c r="A336" t="s">
        <v>728</v>
      </c>
      <c r="B336" t="s">
        <v>506</v>
      </c>
      <c r="C336" t="s">
        <v>397</v>
      </c>
      <c r="D336" t="s">
        <v>137</v>
      </c>
      <c r="E336" t="s">
        <v>37</v>
      </c>
      <c r="F336" t="s">
        <v>20</v>
      </c>
      <c r="G336" t="s">
        <v>21</v>
      </c>
      <c r="H336" t="s">
        <v>22</v>
      </c>
      <c r="I336" t="s">
        <v>23</v>
      </c>
      <c r="J336">
        <v>7000</v>
      </c>
      <c r="K336">
        <v>7</v>
      </c>
      <c r="L336">
        <v>49000</v>
      </c>
      <c r="M336" t="s">
        <v>24</v>
      </c>
      <c r="N336">
        <v>3</v>
      </c>
      <c r="O336" t="s">
        <v>25</v>
      </c>
      <c r="P336" t="str">
        <f>TEXT(Hospitalitydata[[#This Row],[Booking_Date]],"mmm")</f>
        <v>Jan</v>
      </c>
    </row>
    <row r="337" spans="1:16" x14ac:dyDescent="0.3">
      <c r="A337" t="s">
        <v>729</v>
      </c>
      <c r="B337" t="s">
        <v>730</v>
      </c>
      <c r="C337" t="s">
        <v>254</v>
      </c>
      <c r="D337" t="s">
        <v>470</v>
      </c>
      <c r="E337" t="s">
        <v>19</v>
      </c>
      <c r="F337" t="s">
        <v>20</v>
      </c>
      <c r="G337" t="s">
        <v>44</v>
      </c>
      <c r="H337" t="s">
        <v>63</v>
      </c>
      <c r="I337" t="s">
        <v>38</v>
      </c>
      <c r="J337">
        <v>2500</v>
      </c>
      <c r="K337">
        <v>5</v>
      </c>
      <c r="L337">
        <v>12500</v>
      </c>
      <c r="M337" t="s">
        <v>24</v>
      </c>
      <c r="N337">
        <v>3</v>
      </c>
      <c r="O337" t="s">
        <v>25</v>
      </c>
      <c r="P337" t="str">
        <f>TEXT(Hospitalitydata[[#This Row],[Booking_Date]],"mmm")</f>
        <v>Apr</v>
      </c>
    </row>
    <row r="338" spans="1:16" x14ac:dyDescent="0.3">
      <c r="A338" t="s">
        <v>731</v>
      </c>
      <c r="B338" t="s">
        <v>732</v>
      </c>
      <c r="C338" t="s">
        <v>78</v>
      </c>
      <c r="D338" t="s">
        <v>144</v>
      </c>
      <c r="E338" t="s">
        <v>127</v>
      </c>
      <c r="F338" t="s">
        <v>62</v>
      </c>
      <c r="G338" t="s">
        <v>44</v>
      </c>
      <c r="H338" t="s">
        <v>45</v>
      </c>
      <c r="I338" t="s">
        <v>38</v>
      </c>
      <c r="J338">
        <v>2500</v>
      </c>
      <c r="K338">
        <v>7</v>
      </c>
      <c r="L338">
        <v>17500</v>
      </c>
      <c r="M338" t="s">
        <v>24</v>
      </c>
      <c r="N338">
        <v>5</v>
      </c>
      <c r="O338" t="s">
        <v>25</v>
      </c>
      <c r="P338" t="str">
        <f>TEXT(Hospitalitydata[[#This Row],[Booking_Date]],"mmm")</f>
        <v>Mar</v>
      </c>
    </row>
    <row r="339" spans="1:16" x14ac:dyDescent="0.3">
      <c r="A339" t="s">
        <v>733</v>
      </c>
      <c r="B339" t="s">
        <v>569</v>
      </c>
      <c r="C339" t="s">
        <v>336</v>
      </c>
      <c r="D339" t="s">
        <v>457</v>
      </c>
      <c r="E339" t="s">
        <v>30</v>
      </c>
      <c r="F339" t="s">
        <v>20</v>
      </c>
      <c r="G339" t="s">
        <v>32</v>
      </c>
      <c r="H339" t="s">
        <v>45</v>
      </c>
      <c r="I339" t="s">
        <v>23</v>
      </c>
      <c r="J339">
        <v>2500</v>
      </c>
      <c r="K339">
        <v>7</v>
      </c>
      <c r="L339">
        <v>17500</v>
      </c>
      <c r="M339" t="s">
        <v>24</v>
      </c>
      <c r="N339">
        <v>3</v>
      </c>
      <c r="O339" t="s">
        <v>25</v>
      </c>
      <c r="P339" t="str">
        <f>TEXT(Hospitalitydata[[#This Row],[Booking_Date]],"mmm")</f>
        <v>Jun</v>
      </c>
    </row>
    <row r="340" spans="1:16" x14ac:dyDescent="0.3">
      <c r="A340" t="s">
        <v>734</v>
      </c>
      <c r="B340" t="s">
        <v>73</v>
      </c>
      <c r="C340" t="s">
        <v>339</v>
      </c>
      <c r="D340" t="s">
        <v>347</v>
      </c>
      <c r="E340" t="s">
        <v>37</v>
      </c>
      <c r="F340" t="s">
        <v>20</v>
      </c>
      <c r="G340" t="s">
        <v>21</v>
      </c>
      <c r="H340" t="s">
        <v>63</v>
      </c>
      <c r="I340" t="s">
        <v>23</v>
      </c>
      <c r="J340">
        <v>4500</v>
      </c>
      <c r="K340">
        <v>4</v>
      </c>
      <c r="L340">
        <v>18000</v>
      </c>
      <c r="M340" t="s">
        <v>24</v>
      </c>
      <c r="N340">
        <v>4</v>
      </c>
      <c r="O340" t="s">
        <v>25</v>
      </c>
      <c r="P340" t="str">
        <f>TEXT(Hospitalitydata[[#This Row],[Booking_Date]],"mmm")</f>
        <v>Jul</v>
      </c>
    </row>
    <row r="341" spans="1:16" x14ac:dyDescent="0.3">
      <c r="A341" t="s">
        <v>735</v>
      </c>
      <c r="B341" t="s">
        <v>168</v>
      </c>
      <c r="C341" t="s">
        <v>82</v>
      </c>
      <c r="D341" t="s">
        <v>634</v>
      </c>
      <c r="E341" t="s">
        <v>30</v>
      </c>
      <c r="F341" t="s">
        <v>62</v>
      </c>
      <c r="G341" t="s">
        <v>44</v>
      </c>
      <c r="H341" t="s">
        <v>63</v>
      </c>
      <c r="I341" t="s">
        <v>38</v>
      </c>
      <c r="J341">
        <v>7000</v>
      </c>
      <c r="K341">
        <v>3</v>
      </c>
      <c r="L341">
        <v>21000</v>
      </c>
      <c r="M341" t="s">
        <v>24</v>
      </c>
      <c r="N341">
        <v>5</v>
      </c>
      <c r="O341" t="s">
        <v>25</v>
      </c>
      <c r="P341" t="str">
        <f>TEXT(Hospitalitydata[[#This Row],[Booking_Date]],"mmm")</f>
        <v>Jul</v>
      </c>
    </row>
    <row r="342" spans="1:16" x14ac:dyDescent="0.3">
      <c r="A342" t="s">
        <v>736</v>
      </c>
      <c r="B342" t="s">
        <v>631</v>
      </c>
      <c r="C342" t="s">
        <v>577</v>
      </c>
      <c r="D342" t="s">
        <v>326</v>
      </c>
      <c r="E342" t="s">
        <v>43</v>
      </c>
      <c r="F342" t="s">
        <v>62</v>
      </c>
      <c r="G342" t="s">
        <v>21</v>
      </c>
      <c r="H342" t="s">
        <v>63</v>
      </c>
      <c r="I342" t="s">
        <v>23</v>
      </c>
      <c r="J342">
        <v>3500</v>
      </c>
      <c r="K342">
        <v>5</v>
      </c>
      <c r="L342">
        <v>17500</v>
      </c>
      <c r="M342" t="s">
        <v>24</v>
      </c>
      <c r="N342">
        <v>4</v>
      </c>
      <c r="O342" t="s">
        <v>25</v>
      </c>
      <c r="P342" t="str">
        <f>TEXT(Hospitalitydata[[#This Row],[Booking_Date]],"mmm")</f>
        <v>Apr</v>
      </c>
    </row>
    <row r="343" spans="1:16" x14ac:dyDescent="0.3">
      <c r="A343" t="s">
        <v>737</v>
      </c>
      <c r="B343" t="s">
        <v>719</v>
      </c>
      <c r="C343" t="s">
        <v>336</v>
      </c>
      <c r="D343" t="s">
        <v>457</v>
      </c>
      <c r="E343" t="s">
        <v>37</v>
      </c>
      <c r="F343" t="s">
        <v>20</v>
      </c>
      <c r="G343" t="s">
        <v>32</v>
      </c>
      <c r="H343" t="s">
        <v>22</v>
      </c>
      <c r="I343" t="s">
        <v>33</v>
      </c>
      <c r="J343">
        <v>9000</v>
      </c>
      <c r="K343">
        <v>7</v>
      </c>
      <c r="L343">
        <v>63000</v>
      </c>
      <c r="M343" t="s">
        <v>24</v>
      </c>
      <c r="N343">
        <v>5</v>
      </c>
      <c r="O343" t="s">
        <v>25</v>
      </c>
      <c r="P343" t="str">
        <f>TEXT(Hospitalitydata[[#This Row],[Booking_Date]],"mmm")</f>
        <v>Jun</v>
      </c>
    </row>
    <row r="344" spans="1:16" x14ac:dyDescent="0.3">
      <c r="A344" t="s">
        <v>738</v>
      </c>
      <c r="B344" t="s">
        <v>74</v>
      </c>
      <c r="C344" t="s">
        <v>546</v>
      </c>
      <c r="D344" t="s">
        <v>408</v>
      </c>
      <c r="E344" t="s">
        <v>43</v>
      </c>
      <c r="F344" t="s">
        <v>62</v>
      </c>
      <c r="G344" t="s">
        <v>21</v>
      </c>
      <c r="H344" t="s">
        <v>63</v>
      </c>
      <c r="I344" t="s">
        <v>46</v>
      </c>
      <c r="J344">
        <v>3500</v>
      </c>
      <c r="K344">
        <v>1</v>
      </c>
      <c r="L344">
        <v>3500</v>
      </c>
      <c r="M344" t="s">
        <v>24</v>
      </c>
      <c r="N344">
        <v>3</v>
      </c>
      <c r="O344" t="s">
        <v>25</v>
      </c>
      <c r="P344" t="str">
        <f>TEXT(Hospitalitydata[[#This Row],[Booking_Date]],"mmm")</f>
        <v>Aug</v>
      </c>
    </row>
    <row r="345" spans="1:16" x14ac:dyDescent="0.3">
      <c r="A345" t="s">
        <v>739</v>
      </c>
      <c r="B345" t="s">
        <v>139</v>
      </c>
      <c r="C345" t="s">
        <v>114</v>
      </c>
      <c r="D345" t="s">
        <v>272</v>
      </c>
      <c r="E345" t="s">
        <v>127</v>
      </c>
      <c r="F345" t="s">
        <v>20</v>
      </c>
      <c r="G345" t="s">
        <v>21</v>
      </c>
      <c r="H345" t="s">
        <v>22</v>
      </c>
      <c r="I345" t="s">
        <v>23</v>
      </c>
      <c r="J345">
        <v>7000</v>
      </c>
      <c r="K345">
        <v>1</v>
      </c>
      <c r="L345">
        <v>7000</v>
      </c>
      <c r="M345" t="s">
        <v>24</v>
      </c>
      <c r="N345">
        <v>3</v>
      </c>
      <c r="O345" t="s">
        <v>25</v>
      </c>
      <c r="P345" t="str">
        <f>TEXT(Hospitalitydata[[#This Row],[Booking_Date]],"mmm")</f>
        <v>Aug</v>
      </c>
    </row>
    <row r="346" spans="1:16" x14ac:dyDescent="0.3">
      <c r="A346" t="s">
        <v>740</v>
      </c>
      <c r="B346" t="s">
        <v>480</v>
      </c>
      <c r="C346" t="s">
        <v>673</v>
      </c>
      <c r="D346" t="s">
        <v>285</v>
      </c>
      <c r="E346" t="s">
        <v>127</v>
      </c>
      <c r="F346" t="s">
        <v>87</v>
      </c>
      <c r="G346" t="s">
        <v>44</v>
      </c>
      <c r="H346" t="s">
        <v>63</v>
      </c>
      <c r="I346" t="s">
        <v>46</v>
      </c>
      <c r="J346">
        <v>3500</v>
      </c>
      <c r="K346">
        <v>2</v>
      </c>
      <c r="L346">
        <v>7000</v>
      </c>
      <c r="M346" t="s">
        <v>24</v>
      </c>
      <c r="N346">
        <v>4</v>
      </c>
      <c r="O346" t="s">
        <v>25</v>
      </c>
      <c r="P346" t="str">
        <f>TEXT(Hospitalitydata[[#This Row],[Booking_Date]],"mmm")</f>
        <v>Aug</v>
      </c>
    </row>
    <row r="347" spans="1:16" x14ac:dyDescent="0.3">
      <c r="A347" t="s">
        <v>741</v>
      </c>
      <c r="B347" t="s">
        <v>401</v>
      </c>
      <c r="C347" t="s">
        <v>432</v>
      </c>
      <c r="D347" t="s">
        <v>577</v>
      </c>
      <c r="E347" t="s">
        <v>43</v>
      </c>
      <c r="F347" t="s">
        <v>62</v>
      </c>
      <c r="G347" t="s">
        <v>32</v>
      </c>
      <c r="H347" t="s">
        <v>45</v>
      </c>
      <c r="I347" t="s">
        <v>38</v>
      </c>
      <c r="J347">
        <v>3500</v>
      </c>
      <c r="K347">
        <v>2</v>
      </c>
      <c r="L347">
        <v>7000</v>
      </c>
      <c r="M347" t="s">
        <v>24</v>
      </c>
      <c r="N347">
        <v>5</v>
      </c>
      <c r="O347" t="s">
        <v>25</v>
      </c>
      <c r="P347" t="str">
        <f>TEXT(Hospitalitydata[[#This Row],[Booking_Date]],"mmm")</f>
        <v>Apr</v>
      </c>
    </row>
    <row r="348" spans="1:16" x14ac:dyDescent="0.3">
      <c r="A348" t="s">
        <v>742</v>
      </c>
      <c r="B348" t="s">
        <v>210</v>
      </c>
      <c r="C348" t="s">
        <v>70</v>
      </c>
      <c r="D348" t="s">
        <v>113</v>
      </c>
      <c r="E348" t="s">
        <v>127</v>
      </c>
      <c r="F348" t="s">
        <v>87</v>
      </c>
      <c r="G348" t="s">
        <v>44</v>
      </c>
      <c r="H348" t="s">
        <v>63</v>
      </c>
      <c r="I348" t="s">
        <v>23</v>
      </c>
      <c r="J348">
        <v>2500</v>
      </c>
      <c r="K348">
        <v>4</v>
      </c>
      <c r="L348">
        <v>10000</v>
      </c>
      <c r="M348" t="s">
        <v>24</v>
      </c>
      <c r="N348">
        <v>3</v>
      </c>
      <c r="O348" t="s">
        <v>25</v>
      </c>
      <c r="P348" t="str">
        <f>TEXT(Hospitalitydata[[#This Row],[Booking_Date]],"mmm")</f>
        <v>Aug</v>
      </c>
    </row>
    <row r="349" spans="1:16" x14ac:dyDescent="0.3">
      <c r="A349" t="s">
        <v>743</v>
      </c>
      <c r="B349" t="s">
        <v>136</v>
      </c>
      <c r="C349" t="s">
        <v>262</v>
      </c>
      <c r="D349" t="s">
        <v>452</v>
      </c>
      <c r="E349" t="s">
        <v>30</v>
      </c>
      <c r="F349" t="s">
        <v>20</v>
      </c>
      <c r="G349" t="s">
        <v>32</v>
      </c>
      <c r="H349" t="s">
        <v>63</v>
      </c>
      <c r="I349" t="s">
        <v>33</v>
      </c>
      <c r="J349">
        <v>9000</v>
      </c>
      <c r="K349">
        <v>7</v>
      </c>
      <c r="L349">
        <v>63000</v>
      </c>
      <c r="M349" t="s">
        <v>24</v>
      </c>
      <c r="N349">
        <v>5</v>
      </c>
      <c r="O349" t="s">
        <v>25</v>
      </c>
      <c r="P349" t="str">
        <f>TEXT(Hospitalitydata[[#This Row],[Booking_Date]],"mmm")</f>
        <v>Feb</v>
      </c>
    </row>
    <row r="350" spans="1:16" x14ac:dyDescent="0.3">
      <c r="A350" t="s">
        <v>744</v>
      </c>
      <c r="B350" t="s">
        <v>136</v>
      </c>
      <c r="C350" t="s">
        <v>555</v>
      </c>
      <c r="D350" t="s">
        <v>630</v>
      </c>
      <c r="E350" t="s">
        <v>37</v>
      </c>
      <c r="F350" t="s">
        <v>87</v>
      </c>
      <c r="G350" t="s">
        <v>32</v>
      </c>
      <c r="H350" t="s">
        <v>45</v>
      </c>
      <c r="I350" t="s">
        <v>38</v>
      </c>
      <c r="J350">
        <v>4500</v>
      </c>
      <c r="K350">
        <v>2</v>
      </c>
      <c r="L350">
        <v>9000</v>
      </c>
      <c r="M350" t="s">
        <v>24</v>
      </c>
      <c r="N350">
        <v>3</v>
      </c>
      <c r="O350" t="s">
        <v>25</v>
      </c>
      <c r="P350" t="str">
        <f>TEXT(Hospitalitydata[[#This Row],[Booking_Date]],"mmm")</f>
        <v>Feb</v>
      </c>
    </row>
    <row r="351" spans="1:16" x14ac:dyDescent="0.3">
      <c r="A351" t="s">
        <v>745</v>
      </c>
      <c r="B351" t="s">
        <v>408</v>
      </c>
      <c r="C351" t="s">
        <v>70</v>
      </c>
      <c r="D351" t="s">
        <v>461</v>
      </c>
      <c r="E351" t="s">
        <v>43</v>
      </c>
      <c r="F351" t="s">
        <v>62</v>
      </c>
      <c r="G351" t="s">
        <v>32</v>
      </c>
      <c r="H351" t="s">
        <v>45</v>
      </c>
      <c r="I351" t="s">
        <v>23</v>
      </c>
      <c r="J351">
        <v>7000</v>
      </c>
      <c r="K351">
        <v>6</v>
      </c>
      <c r="L351">
        <v>42000</v>
      </c>
      <c r="M351" t="s">
        <v>24</v>
      </c>
      <c r="N351">
        <v>4</v>
      </c>
      <c r="O351" t="s">
        <v>25</v>
      </c>
      <c r="P351" t="str">
        <f>TEXT(Hospitalitydata[[#This Row],[Booking_Date]],"mmm")</f>
        <v>Aug</v>
      </c>
    </row>
    <row r="352" spans="1:16" x14ac:dyDescent="0.3">
      <c r="A352" t="s">
        <v>746</v>
      </c>
      <c r="B352" t="s">
        <v>747</v>
      </c>
      <c r="C352" t="s">
        <v>185</v>
      </c>
      <c r="D352" t="s">
        <v>356</v>
      </c>
      <c r="E352" t="s">
        <v>43</v>
      </c>
      <c r="F352" t="s">
        <v>31</v>
      </c>
      <c r="G352" t="s">
        <v>21</v>
      </c>
      <c r="H352" t="s">
        <v>63</v>
      </c>
      <c r="I352" t="s">
        <v>23</v>
      </c>
      <c r="J352">
        <v>5500</v>
      </c>
      <c r="K352">
        <v>2</v>
      </c>
      <c r="L352">
        <v>11000</v>
      </c>
      <c r="M352" t="s">
        <v>24</v>
      </c>
      <c r="N352">
        <v>5</v>
      </c>
      <c r="O352" t="s">
        <v>25</v>
      </c>
      <c r="P352" t="str">
        <f>TEXT(Hospitalitydata[[#This Row],[Booking_Date]],"mmm")</f>
        <v>Apr</v>
      </c>
    </row>
    <row r="353" spans="1:16" x14ac:dyDescent="0.3">
      <c r="A353" t="s">
        <v>748</v>
      </c>
      <c r="B353" t="s">
        <v>341</v>
      </c>
      <c r="C353" t="s">
        <v>549</v>
      </c>
      <c r="D353" t="s">
        <v>623</v>
      </c>
      <c r="E353" t="s">
        <v>43</v>
      </c>
      <c r="F353" t="s">
        <v>87</v>
      </c>
      <c r="G353" t="s">
        <v>32</v>
      </c>
      <c r="H353" t="s">
        <v>45</v>
      </c>
      <c r="I353" t="s">
        <v>38</v>
      </c>
      <c r="J353">
        <v>9000</v>
      </c>
      <c r="K353">
        <v>2</v>
      </c>
      <c r="L353">
        <v>18000</v>
      </c>
      <c r="M353" t="s">
        <v>24</v>
      </c>
      <c r="N353">
        <v>3</v>
      </c>
      <c r="O353" t="s">
        <v>25</v>
      </c>
      <c r="P353" t="str">
        <f>TEXT(Hospitalitydata[[#This Row],[Booking_Date]],"mmm")</f>
        <v>Jan</v>
      </c>
    </row>
    <row r="354" spans="1:16" x14ac:dyDescent="0.3">
      <c r="A354" t="s">
        <v>749</v>
      </c>
      <c r="B354" t="s">
        <v>94</v>
      </c>
      <c r="C354" t="s">
        <v>95</v>
      </c>
      <c r="D354" t="s">
        <v>312</v>
      </c>
      <c r="E354" t="s">
        <v>127</v>
      </c>
      <c r="F354" t="s">
        <v>20</v>
      </c>
      <c r="G354" t="s">
        <v>44</v>
      </c>
      <c r="H354" t="s">
        <v>22</v>
      </c>
      <c r="I354" t="s">
        <v>38</v>
      </c>
      <c r="J354">
        <v>5500</v>
      </c>
      <c r="K354">
        <v>5</v>
      </c>
      <c r="L354">
        <v>27500</v>
      </c>
      <c r="M354" t="s">
        <v>24</v>
      </c>
      <c r="N354">
        <v>4</v>
      </c>
      <c r="O354" t="s">
        <v>25</v>
      </c>
      <c r="P354" t="str">
        <f>TEXT(Hospitalitydata[[#This Row],[Booking_Date]],"mmm")</f>
        <v>Jan</v>
      </c>
    </row>
    <row r="355" spans="1:16" x14ac:dyDescent="0.3">
      <c r="A355" t="s">
        <v>750</v>
      </c>
      <c r="B355" t="s">
        <v>535</v>
      </c>
      <c r="C355" t="s">
        <v>631</v>
      </c>
      <c r="D355" t="s">
        <v>526</v>
      </c>
      <c r="E355" t="s">
        <v>19</v>
      </c>
      <c r="F355" t="s">
        <v>20</v>
      </c>
      <c r="G355" t="s">
        <v>21</v>
      </c>
      <c r="H355" t="s">
        <v>22</v>
      </c>
      <c r="I355" t="s">
        <v>33</v>
      </c>
      <c r="J355">
        <v>3500</v>
      </c>
      <c r="K355">
        <v>2</v>
      </c>
      <c r="L355">
        <v>7000</v>
      </c>
      <c r="M355" t="s">
        <v>24</v>
      </c>
      <c r="N355">
        <v>4</v>
      </c>
      <c r="O355" t="s">
        <v>25</v>
      </c>
      <c r="P355" t="str">
        <f>TEXT(Hospitalitydata[[#This Row],[Booking_Date]],"mmm")</f>
        <v>Mar</v>
      </c>
    </row>
    <row r="356" spans="1:16" x14ac:dyDescent="0.3">
      <c r="A356" t="s">
        <v>751</v>
      </c>
      <c r="B356" t="s">
        <v>17</v>
      </c>
      <c r="C356" t="s">
        <v>56</v>
      </c>
      <c r="D356" t="s">
        <v>150</v>
      </c>
      <c r="E356" t="s">
        <v>43</v>
      </c>
      <c r="F356" t="s">
        <v>20</v>
      </c>
      <c r="G356" t="s">
        <v>44</v>
      </c>
      <c r="H356" t="s">
        <v>63</v>
      </c>
      <c r="I356" t="s">
        <v>33</v>
      </c>
      <c r="J356">
        <v>5500</v>
      </c>
      <c r="K356">
        <v>4</v>
      </c>
      <c r="L356">
        <v>22000</v>
      </c>
      <c r="M356" t="s">
        <v>47</v>
      </c>
      <c r="N356">
        <v>4</v>
      </c>
      <c r="O356" t="s">
        <v>48</v>
      </c>
      <c r="P356" t="str">
        <f>TEXT(Hospitalitydata[[#This Row],[Booking_Date]],"mmm")</f>
        <v>Nov</v>
      </c>
    </row>
    <row r="357" spans="1:16" x14ac:dyDescent="0.3">
      <c r="A357" t="s">
        <v>752</v>
      </c>
      <c r="B357" t="s">
        <v>74</v>
      </c>
      <c r="C357" t="s">
        <v>420</v>
      </c>
      <c r="D357" t="s">
        <v>359</v>
      </c>
      <c r="E357" t="s">
        <v>43</v>
      </c>
      <c r="F357" t="s">
        <v>53</v>
      </c>
      <c r="G357" t="s">
        <v>21</v>
      </c>
      <c r="H357" t="s">
        <v>63</v>
      </c>
      <c r="I357" t="s">
        <v>38</v>
      </c>
      <c r="J357">
        <v>7000</v>
      </c>
      <c r="K357">
        <v>6</v>
      </c>
      <c r="L357">
        <v>42000</v>
      </c>
      <c r="M357" t="s">
        <v>24</v>
      </c>
      <c r="N357">
        <v>5</v>
      </c>
      <c r="O357" t="s">
        <v>25</v>
      </c>
      <c r="P357" t="str">
        <f>TEXT(Hospitalitydata[[#This Row],[Booking_Date]],"mmm")</f>
        <v>Aug</v>
      </c>
    </row>
    <row r="358" spans="1:16" x14ac:dyDescent="0.3">
      <c r="A358" t="s">
        <v>753</v>
      </c>
      <c r="B358" t="s">
        <v>754</v>
      </c>
      <c r="C358" t="s">
        <v>320</v>
      </c>
      <c r="D358" t="s">
        <v>85</v>
      </c>
      <c r="E358" t="s">
        <v>127</v>
      </c>
      <c r="F358" t="s">
        <v>87</v>
      </c>
      <c r="G358" t="s">
        <v>32</v>
      </c>
      <c r="H358" t="s">
        <v>45</v>
      </c>
      <c r="I358" t="s">
        <v>46</v>
      </c>
      <c r="J358">
        <v>4500</v>
      </c>
      <c r="K358">
        <v>4</v>
      </c>
      <c r="L358">
        <v>18000</v>
      </c>
      <c r="M358" t="s">
        <v>47</v>
      </c>
      <c r="N358">
        <v>3</v>
      </c>
      <c r="O358" t="s">
        <v>48</v>
      </c>
      <c r="P358" t="str">
        <f>TEXT(Hospitalitydata[[#This Row],[Booking_Date]],"mmm")</f>
        <v>Oct</v>
      </c>
    </row>
    <row r="359" spans="1:16" x14ac:dyDescent="0.3">
      <c r="A359" t="s">
        <v>755</v>
      </c>
      <c r="B359" t="s">
        <v>84</v>
      </c>
      <c r="C359" t="s">
        <v>224</v>
      </c>
      <c r="D359" t="s">
        <v>563</v>
      </c>
      <c r="E359" t="s">
        <v>30</v>
      </c>
      <c r="F359" t="s">
        <v>87</v>
      </c>
      <c r="G359" t="s">
        <v>21</v>
      </c>
      <c r="H359" t="s">
        <v>45</v>
      </c>
      <c r="I359" t="s">
        <v>33</v>
      </c>
      <c r="J359">
        <v>4500</v>
      </c>
      <c r="K359">
        <v>1</v>
      </c>
      <c r="L359">
        <v>4500</v>
      </c>
      <c r="M359" t="s">
        <v>24</v>
      </c>
      <c r="N359">
        <v>4</v>
      </c>
      <c r="O359" t="s">
        <v>25</v>
      </c>
      <c r="P359" t="str">
        <f>TEXT(Hospitalitydata[[#This Row],[Booking_Date]],"mmm")</f>
        <v>Nov</v>
      </c>
    </row>
    <row r="360" spans="1:16" x14ac:dyDescent="0.3">
      <c r="A360" t="s">
        <v>756</v>
      </c>
      <c r="B360" t="s">
        <v>137</v>
      </c>
      <c r="C360" t="s">
        <v>452</v>
      </c>
      <c r="D360" t="s">
        <v>106</v>
      </c>
      <c r="E360" t="s">
        <v>43</v>
      </c>
      <c r="F360" t="s">
        <v>62</v>
      </c>
      <c r="G360" t="s">
        <v>21</v>
      </c>
      <c r="H360" t="s">
        <v>63</v>
      </c>
      <c r="I360" t="s">
        <v>46</v>
      </c>
      <c r="J360">
        <v>3500</v>
      </c>
      <c r="K360">
        <v>6</v>
      </c>
      <c r="L360">
        <v>21000</v>
      </c>
      <c r="M360" t="s">
        <v>24</v>
      </c>
      <c r="N360">
        <v>5</v>
      </c>
      <c r="O360" t="s">
        <v>25</v>
      </c>
      <c r="P360" t="str">
        <f>TEXT(Hospitalitydata[[#This Row],[Booking_Date]],"mmm")</f>
        <v>Feb</v>
      </c>
    </row>
    <row r="361" spans="1:16" x14ac:dyDescent="0.3">
      <c r="A361" t="s">
        <v>757</v>
      </c>
      <c r="B361" t="s">
        <v>535</v>
      </c>
      <c r="C361" t="s">
        <v>616</v>
      </c>
      <c r="D361" t="s">
        <v>376</v>
      </c>
      <c r="E361" t="s">
        <v>37</v>
      </c>
      <c r="F361" t="s">
        <v>31</v>
      </c>
      <c r="G361" t="s">
        <v>32</v>
      </c>
      <c r="H361" t="s">
        <v>22</v>
      </c>
      <c r="I361" t="s">
        <v>46</v>
      </c>
      <c r="J361">
        <v>7000</v>
      </c>
      <c r="K361">
        <v>2</v>
      </c>
      <c r="L361">
        <v>14000</v>
      </c>
      <c r="M361" t="s">
        <v>24</v>
      </c>
      <c r="N361">
        <v>5</v>
      </c>
      <c r="O361" t="s">
        <v>25</v>
      </c>
      <c r="P361" t="str">
        <f>TEXT(Hospitalitydata[[#This Row],[Booking_Date]],"mmm")</f>
        <v>Mar</v>
      </c>
    </row>
    <row r="362" spans="1:16" x14ac:dyDescent="0.3">
      <c r="A362" t="s">
        <v>758</v>
      </c>
      <c r="B362" t="s">
        <v>588</v>
      </c>
      <c r="C362" t="s">
        <v>117</v>
      </c>
      <c r="D362" t="s">
        <v>413</v>
      </c>
      <c r="E362" t="s">
        <v>30</v>
      </c>
      <c r="F362" t="s">
        <v>87</v>
      </c>
      <c r="G362" t="s">
        <v>32</v>
      </c>
      <c r="H362" t="s">
        <v>63</v>
      </c>
      <c r="I362" t="s">
        <v>23</v>
      </c>
      <c r="J362">
        <v>7000</v>
      </c>
      <c r="K362">
        <v>2</v>
      </c>
      <c r="L362">
        <v>14000</v>
      </c>
      <c r="M362" t="s">
        <v>47</v>
      </c>
      <c r="N362">
        <v>4</v>
      </c>
      <c r="O362" t="s">
        <v>48</v>
      </c>
      <c r="P362" t="str">
        <f>TEXT(Hospitalitydata[[#This Row],[Booking_Date]],"mmm")</f>
        <v>Oct</v>
      </c>
    </row>
    <row r="363" spans="1:16" x14ac:dyDescent="0.3">
      <c r="A363" t="s">
        <v>759</v>
      </c>
      <c r="B363" t="s">
        <v>136</v>
      </c>
      <c r="C363" t="s">
        <v>711</v>
      </c>
      <c r="D363" t="s">
        <v>650</v>
      </c>
      <c r="E363" t="s">
        <v>127</v>
      </c>
      <c r="F363" t="s">
        <v>20</v>
      </c>
      <c r="G363" t="s">
        <v>44</v>
      </c>
      <c r="H363" t="s">
        <v>22</v>
      </c>
      <c r="I363" t="s">
        <v>33</v>
      </c>
      <c r="J363">
        <v>7000</v>
      </c>
      <c r="K363">
        <v>2</v>
      </c>
      <c r="L363">
        <v>14000</v>
      </c>
      <c r="M363" t="s">
        <v>24</v>
      </c>
      <c r="N363">
        <v>5</v>
      </c>
      <c r="O363" t="s">
        <v>25</v>
      </c>
      <c r="P363" t="str">
        <f>TEXT(Hospitalitydata[[#This Row],[Booking_Date]],"mmm")</f>
        <v>Feb</v>
      </c>
    </row>
    <row r="364" spans="1:16" x14ac:dyDescent="0.3">
      <c r="A364" t="s">
        <v>760</v>
      </c>
      <c r="B364" t="s">
        <v>453</v>
      </c>
      <c r="C364" t="s">
        <v>425</v>
      </c>
      <c r="D364" t="s">
        <v>428</v>
      </c>
      <c r="E364" t="s">
        <v>43</v>
      </c>
      <c r="F364" t="s">
        <v>20</v>
      </c>
      <c r="G364" t="s">
        <v>32</v>
      </c>
      <c r="H364" t="s">
        <v>22</v>
      </c>
      <c r="I364" t="s">
        <v>33</v>
      </c>
      <c r="J364">
        <v>3500</v>
      </c>
      <c r="K364">
        <v>6</v>
      </c>
      <c r="L364">
        <v>21000</v>
      </c>
      <c r="M364" t="s">
        <v>47</v>
      </c>
      <c r="N364">
        <v>3</v>
      </c>
      <c r="O364" t="s">
        <v>48</v>
      </c>
      <c r="P364" t="str">
        <f>TEXT(Hospitalitydata[[#This Row],[Booking_Date]],"mmm")</f>
        <v>Mar</v>
      </c>
    </row>
    <row r="365" spans="1:16" x14ac:dyDescent="0.3">
      <c r="A365" t="s">
        <v>761</v>
      </c>
      <c r="B365" t="s">
        <v>762</v>
      </c>
      <c r="C365" t="s">
        <v>79</v>
      </c>
      <c r="D365" t="s">
        <v>144</v>
      </c>
      <c r="E365" t="s">
        <v>127</v>
      </c>
      <c r="F365" t="s">
        <v>31</v>
      </c>
      <c r="G365" t="s">
        <v>32</v>
      </c>
      <c r="H365" t="s">
        <v>63</v>
      </c>
      <c r="I365" t="s">
        <v>46</v>
      </c>
      <c r="J365">
        <v>4500</v>
      </c>
      <c r="K365">
        <v>5</v>
      </c>
      <c r="L365">
        <v>22500</v>
      </c>
      <c r="M365" t="s">
        <v>47</v>
      </c>
      <c r="N365">
        <v>3</v>
      </c>
      <c r="O365" t="s">
        <v>48</v>
      </c>
      <c r="P365" t="str">
        <f>TEXT(Hospitalitydata[[#This Row],[Booking_Date]],"mmm")</f>
        <v>Feb</v>
      </c>
    </row>
    <row r="366" spans="1:16" x14ac:dyDescent="0.3">
      <c r="A366" t="s">
        <v>763</v>
      </c>
      <c r="B366" t="s">
        <v>291</v>
      </c>
      <c r="C366" t="s">
        <v>292</v>
      </c>
      <c r="D366" t="s">
        <v>336</v>
      </c>
      <c r="E366" t="s">
        <v>37</v>
      </c>
      <c r="F366" t="s">
        <v>62</v>
      </c>
      <c r="G366" t="s">
        <v>21</v>
      </c>
      <c r="H366" t="s">
        <v>22</v>
      </c>
      <c r="I366" t="s">
        <v>46</v>
      </c>
      <c r="J366">
        <v>9000</v>
      </c>
      <c r="K366">
        <v>2</v>
      </c>
      <c r="L366">
        <v>18000</v>
      </c>
      <c r="M366" t="s">
        <v>47</v>
      </c>
      <c r="N366">
        <v>4</v>
      </c>
      <c r="O366" t="s">
        <v>48</v>
      </c>
      <c r="P366" t="str">
        <f>TEXT(Hospitalitydata[[#This Row],[Booking_Date]],"mmm")</f>
        <v>Jun</v>
      </c>
    </row>
    <row r="367" spans="1:16" x14ac:dyDescent="0.3">
      <c r="A367" t="s">
        <v>764</v>
      </c>
      <c r="B367" t="s">
        <v>608</v>
      </c>
      <c r="C367" t="s">
        <v>238</v>
      </c>
      <c r="D367" t="s">
        <v>170</v>
      </c>
      <c r="E367" t="s">
        <v>37</v>
      </c>
      <c r="F367" t="s">
        <v>62</v>
      </c>
      <c r="G367" t="s">
        <v>32</v>
      </c>
      <c r="H367" t="s">
        <v>22</v>
      </c>
      <c r="I367" t="s">
        <v>23</v>
      </c>
      <c r="J367">
        <v>3500</v>
      </c>
      <c r="K367">
        <v>5</v>
      </c>
      <c r="L367">
        <v>17500</v>
      </c>
      <c r="M367" t="s">
        <v>24</v>
      </c>
      <c r="N367">
        <v>5</v>
      </c>
      <c r="O367" t="s">
        <v>25</v>
      </c>
      <c r="P367" t="str">
        <f>TEXT(Hospitalitydata[[#This Row],[Booking_Date]],"mmm")</f>
        <v>Apr</v>
      </c>
    </row>
    <row r="368" spans="1:16" x14ac:dyDescent="0.3">
      <c r="A368" t="s">
        <v>765</v>
      </c>
      <c r="B368" t="s">
        <v>642</v>
      </c>
      <c r="C368" t="s">
        <v>90</v>
      </c>
      <c r="D368" t="s">
        <v>766</v>
      </c>
      <c r="E368" t="s">
        <v>37</v>
      </c>
      <c r="F368" t="s">
        <v>31</v>
      </c>
      <c r="G368" t="s">
        <v>32</v>
      </c>
      <c r="H368" t="s">
        <v>22</v>
      </c>
      <c r="I368" t="s">
        <v>23</v>
      </c>
      <c r="J368">
        <v>7000</v>
      </c>
      <c r="K368">
        <v>4</v>
      </c>
      <c r="L368">
        <v>28000</v>
      </c>
      <c r="M368" t="s">
        <v>24</v>
      </c>
      <c r="N368">
        <v>5</v>
      </c>
      <c r="O368" t="s">
        <v>25</v>
      </c>
      <c r="P368" t="str">
        <f>TEXT(Hospitalitydata[[#This Row],[Booking_Date]],"mmm")</f>
        <v>Dec</v>
      </c>
    </row>
    <row r="369" spans="1:16" x14ac:dyDescent="0.3">
      <c r="A369" t="s">
        <v>767</v>
      </c>
      <c r="B369" t="s">
        <v>575</v>
      </c>
      <c r="C369" t="s">
        <v>272</v>
      </c>
      <c r="D369" t="s">
        <v>466</v>
      </c>
      <c r="E369" t="s">
        <v>37</v>
      </c>
      <c r="F369" t="s">
        <v>62</v>
      </c>
      <c r="G369" t="s">
        <v>21</v>
      </c>
      <c r="H369" t="s">
        <v>45</v>
      </c>
      <c r="I369" t="s">
        <v>46</v>
      </c>
      <c r="J369">
        <v>9000</v>
      </c>
      <c r="K369">
        <v>3</v>
      </c>
      <c r="L369">
        <v>27000</v>
      </c>
      <c r="M369" t="s">
        <v>24</v>
      </c>
      <c r="N369">
        <v>4</v>
      </c>
      <c r="O369" t="s">
        <v>25</v>
      </c>
      <c r="P369" t="str">
        <f>TEXT(Hospitalitydata[[#This Row],[Booking_Date]],"mmm")</f>
        <v>Sep</v>
      </c>
    </row>
    <row r="370" spans="1:16" x14ac:dyDescent="0.3">
      <c r="A370" t="s">
        <v>768</v>
      </c>
      <c r="B370" t="s">
        <v>445</v>
      </c>
      <c r="C370" t="s">
        <v>418</v>
      </c>
      <c r="D370" t="s">
        <v>572</v>
      </c>
      <c r="E370" t="s">
        <v>37</v>
      </c>
      <c r="F370" t="s">
        <v>87</v>
      </c>
      <c r="G370" t="s">
        <v>32</v>
      </c>
      <c r="H370" t="s">
        <v>22</v>
      </c>
      <c r="I370" t="s">
        <v>23</v>
      </c>
      <c r="J370">
        <v>3500</v>
      </c>
      <c r="K370">
        <v>3</v>
      </c>
      <c r="L370">
        <v>10500</v>
      </c>
      <c r="M370" t="s">
        <v>24</v>
      </c>
      <c r="N370">
        <v>3</v>
      </c>
      <c r="O370" t="s">
        <v>25</v>
      </c>
      <c r="P370" t="str">
        <f>TEXT(Hospitalitydata[[#This Row],[Booking_Date]],"mmm")</f>
        <v>Aug</v>
      </c>
    </row>
    <row r="371" spans="1:16" x14ac:dyDescent="0.3">
      <c r="A371" t="s">
        <v>769</v>
      </c>
      <c r="B371" t="s">
        <v>770</v>
      </c>
      <c r="C371" t="s">
        <v>159</v>
      </c>
      <c r="D371" t="s">
        <v>605</v>
      </c>
      <c r="E371" t="s">
        <v>127</v>
      </c>
      <c r="F371" t="s">
        <v>53</v>
      </c>
      <c r="G371" t="s">
        <v>44</v>
      </c>
      <c r="H371" t="s">
        <v>63</v>
      </c>
      <c r="I371" t="s">
        <v>38</v>
      </c>
      <c r="J371">
        <v>9000</v>
      </c>
      <c r="K371">
        <v>4</v>
      </c>
      <c r="L371">
        <v>36000</v>
      </c>
      <c r="M371" t="s">
        <v>24</v>
      </c>
      <c r="N371">
        <v>3</v>
      </c>
      <c r="O371" t="s">
        <v>25</v>
      </c>
      <c r="P371" t="str">
        <f>TEXT(Hospitalitydata[[#This Row],[Booking_Date]],"mmm")</f>
        <v>Jan</v>
      </c>
    </row>
    <row r="372" spans="1:16" x14ac:dyDescent="0.3">
      <c r="A372" t="s">
        <v>771</v>
      </c>
      <c r="B372" t="s">
        <v>137</v>
      </c>
      <c r="C372" t="s">
        <v>97</v>
      </c>
      <c r="D372" t="s">
        <v>78</v>
      </c>
      <c r="E372" t="s">
        <v>19</v>
      </c>
      <c r="F372" t="s">
        <v>62</v>
      </c>
      <c r="G372" t="s">
        <v>44</v>
      </c>
      <c r="H372" t="s">
        <v>45</v>
      </c>
      <c r="I372" t="s">
        <v>23</v>
      </c>
      <c r="J372">
        <v>7000</v>
      </c>
      <c r="K372">
        <v>4</v>
      </c>
      <c r="L372">
        <v>28000</v>
      </c>
      <c r="M372" t="s">
        <v>24</v>
      </c>
      <c r="N372">
        <v>5</v>
      </c>
      <c r="O372" t="s">
        <v>25</v>
      </c>
      <c r="P372" t="str">
        <f>TEXT(Hospitalitydata[[#This Row],[Booking_Date]],"mmm")</f>
        <v>Feb</v>
      </c>
    </row>
    <row r="373" spans="1:16" x14ac:dyDescent="0.3">
      <c r="A373" t="s">
        <v>772</v>
      </c>
      <c r="B373" t="s">
        <v>280</v>
      </c>
      <c r="C373" t="s">
        <v>307</v>
      </c>
      <c r="D373" t="s">
        <v>233</v>
      </c>
      <c r="E373" t="s">
        <v>37</v>
      </c>
      <c r="F373" t="s">
        <v>62</v>
      </c>
      <c r="G373" t="s">
        <v>44</v>
      </c>
      <c r="H373" t="s">
        <v>45</v>
      </c>
      <c r="I373" t="s">
        <v>23</v>
      </c>
      <c r="J373">
        <v>4500</v>
      </c>
      <c r="K373">
        <v>3</v>
      </c>
      <c r="L373">
        <v>13500</v>
      </c>
      <c r="M373" t="s">
        <v>47</v>
      </c>
      <c r="N373">
        <v>1</v>
      </c>
      <c r="O373" t="s">
        <v>48</v>
      </c>
      <c r="P373" t="str">
        <f>TEXT(Hospitalitydata[[#This Row],[Booking_Date]],"mmm")</f>
        <v>May</v>
      </c>
    </row>
    <row r="374" spans="1:16" x14ac:dyDescent="0.3">
      <c r="A374" t="s">
        <v>773</v>
      </c>
      <c r="B374" t="s">
        <v>774</v>
      </c>
      <c r="C374" t="s">
        <v>117</v>
      </c>
      <c r="D374" t="s">
        <v>118</v>
      </c>
      <c r="E374" t="s">
        <v>127</v>
      </c>
      <c r="F374" t="s">
        <v>20</v>
      </c>
      <c r="G374" t="s">
        <v>44</v>
      </c>
      <c r="H374" t="s">
        <v>22</v>
      </c>
      <c r="I374" t="s">
        <v>33</v>
      </c>
      <c r="J374">
        <v>4500</v>
      </c>
      <c r="K374">
        <v>1</v>
      </c>
      <c r="L374">
        <v>4500</v>
      </c>
      <c r="M374" t="s">
        <v>24</v>
      </c>
      <c r="N374">
        <v>5</v>
      </c>
      <c r="O374" t="s">
        <v>25</v>
      </c>
      <c r="P374" t="str">
        <f>TEXT(Hospitalitydata[[#This Row],[Booking_Date]],"mmm")</f>
        <v>Oct</v>
      </c>
    </row>
    <row r="375" spans="1:16" x14ac:dyDescent="0.3">
      <c r="A375" t="s">
        <v>775</v>
      </c>
      <c r="B375" t="s">
        <v>118</v>
      </c>
      <c r="C375" t="s">
        <v>164</v>
      </c>
      <c r="D375" t="s">
        <v>65</v>
      </c>
      <c r="E375" t="s">
        <v>19</v>
      </c>
      <c r="F375" t="s">
        <v>62</v>
      </c>
      <c r="G375" t="s">
        <v>44</v>
      </c>
      <c r="H375" t="s">
        <v>22</v>
      </c>
      <c r="I375" t="s">
        <v>46</v>
      </c>
      <c r="J375">
        <v>3500</v>
      </c>
      <c r="K375">
        <v>4</v>
      </c>
      <c r="L375">
        <v>14000</v>
      </c>
      <c r="M375" t="s">
        <v>24</v>
      </c>
      <c r="N375">
        <v>4</v>
      </c>
      <c r="O375" t="s">
        <v>25</v>
      </c>
      <c r="P375" t="str">
        <f>TEXT(Hospitalitydata[[#This Row],[Booking_Date]],"mmm")</f>
        <v>Nov</v>
      </c>
    </row>
    <row r="376" spans="1:16" x14ac:dyDescent="0.3">
      <c r="A376" t="s">
        <v>776</v>
      </c>
      <c r="B376" t="s">
        <v>264</v>
      </c>
      <c r="C376" t="s">
        <v>57</v>
      </c>
      <c r="D376" t="s">
        <v>266</v>
      </c>
      <c r="E376" t="s">
        <v>30</v>
      </c>
      <c r="F376" t="s">
        <v>31</v>
      </c>
      <c r="G376" t="s">
        <v>44</v>
      </c>
      <c r="H376" t="s">
        <v>45</v>
      </c>
      <c r="I376" t="s">
        <v>23</v>
      </c>
      <c r="J376">
        <v>3500</v>
      </c>
      <c r="K376">
        <v>3</v>
      </c>
      <c r="L376">
        <v>10500</v>
      </c>
      <c r="M376" t="s">
        <v>24</v>
      </c>
      <c r="N376">
        <v>4</v>
      </c>
      <c r="O376" t="s">
        <v>25</v>
      </c>
      <c r="P376" t="str">
        <f>TEXT(Hospitalitydata[[#This Row],[Booking_Date]],"mmm")</f>
        <v>Dec</v>
      </c>
    </row>
    <row r="377" spans="1:16" x14ac:dyDescent="0.3">
      <c r="A377" t="s">
        <v>777</v>
      </c>
      <c r="B377" t="s">
        <v>260</v>
      </c>
      <c r="C377" t="s">
        <v>42</v>
      </c>
      <c r="D377" t="s">
        <v>473</v>
      </c>
      <c r="E377" t="s">
        <v>30</v>
      </c>
      <c r="F377" t="s">
        <v>53</v>
      </c>
      <c r="G377" t="s">
        <v>32</v>
      </c>
      <c r="H377" t="s">
        <v>45</v>
      </c>
      <c r="I377" t="s">
        <v>23</v>
      </c>
      <c r="J377">
        <v>2500</v>
      </c>
      <c r="K377">
        <v>4</v>
      </c>
      <c r="L377">
        <v>10000</v>
      </c>
      <c r="M377" t="s">
        <v>24</v>
      </c>
      <c r="N377">
        <v>5</v>
      </c>
      <c r="O377" t="s">
        <v>25</v>
      </c>
      <c r="P377" t="str">
        <f>TEXT(Hospitalitydata[[#This Row],[Booking_Date]],"mmm")</f>
        <v>Jul</v>
      </c>
    </row>
    <row r="378" spans="1:16" x14ac:dyDescent="0.3">
      <c r="A378" t="s">
        <v>778</v>
      </c>
      <c r="B378" t="s">
        <v>237</v>
      </c>
      <c r="C378" t="s">
        <v>690</v>
      </c>
      <c r="D378" t="s">
        <v>603</v>
      </c>
      <c r="E378" t="s">
        <v>43</v>
      </c>
      <c r="F378" t="s">
        <v>87</v>
      </c>
      <c r="G378" t="s">
        <v>44</v>
      </c>
      <c r="H378" t="s">
        <v>63</v>
      </c>
      <c r="I378" t="s">
        <v>38</v>
      </c>
      <c r="J378">
        <v>4500</v>
      </c>
      <c r="K378">
        <v>6</v>
      </c>
      <c r="L378">
        <v>27000</v>
      </c>
      <c r="M378" t="s">
        <v>47</v>
      </c>
      <c r="N378">
        <v>4</v>
      </c>
      <c r="O378" t="s">
        <v>48</v>
      </c>
      <c r="P378" t="str">
        <f>TEXT(Hospitalitydata[[#This Row],[Booking_Date]],"mmm")</f>
        <v>Apr</v>
      </c>
    </row>
    <row r="379" spans="1:16" x14ac:dyDescent="0.3">
      <c r="A379" t="s">
        <v>779</v>
      </c>
      <c r="B379" t="s">
        <v>264</v>
      </c>
      <c r="C379" t="s">
        <v>192</v>
      </c>
      <c r="D379" t="s">
        <v>57</v>
      </c>
      <c r="E379" t="s">
        <v>37</v>
      </c>
      <c r="F379" t="s">
        <v>53</v>
      </c>
      <c r="G379" t="s">
        <v>44</v>
      </c>
      <c r="H379" t="s">
        <v>45</v>
      </c>
      <c r="I379" t="s">
        <v>38</v>
      </c>
      <c r="J379">
        <v>9000</v>
      </c>
      <c r="K379">
        <v>1</v>
      </c>
      <c r="L379">
        <v>9000</v>
      </c>
      <c r="M379" t="s">
        <v>24</v>
      </c>
      <c r="N379">
        <v>3</v>
      </c>
      <c r="O379" t="s">
        <v>25</v>
      </c>
      <c r="P379" t="str">
        <f>TEXT(Hospitalitydata[[#This Row],[Booking_Date]],"mmm")</f>
        <v>Dec</v>
      </c>
    </row>
    <row r="380" spans="1:16" x14ac:dyDescent="0.3">
      <c r="A380" t="s">
        <v>780</v>
      </c>
      <c r="B380" t="s">
        <v>517</v>
      </c>
      <c r="C380" t="s">
        <v>95</v>
      </c>
      <c r="D380" t="s">
        <v>104</v>
      </c>
      <c r="E380" t="s">
        <v>30</v>
      </c>
      <c r="F380" t="s">
        <v>20</v>
      </c>
      <c r="G380" t="s">
        <v>32</v>
      </c>
      <c r="H380" t="s">
        <v>22</v>
      </c>
      <c r="I380" t="s">
        <v>23</v>
      </c>
      <c r="J380">
        <v>5500</v>
      </c>
      <c r="K380">
        <v>4</v>
      </c>
      <c r="L380">
        <v>22000</v>
      </c>
      <c r="M380" t="s">
        <v>24</v>
      </c>
      <c r="N380">
        <v>4</v>
      </c>
      <c r="O380" t="s">
        <v>25</v>
      </c>
      <c r="P380" t="str">
        <f>TEXT(Hospitalitydata[[#This Row],[Booking_Date]],"mmm")</f>
        <v>Jan</v>
      </c>
    </row>
    <row r="381" spans="1:16" x14ac:dyDescent="0.3">
      <c r="A381" t="s">
        <v>781</v>
      </c>
      <c r="B381" t="s">
        <v>221</v>
      </c>
      <c r="C381" t="s">
        <v>106</v>
      </c>
      <c r="D381" t="s">
        <v>60</v>
      </c>
      <c r="E381" t="s">
        <v>19</v>
      </c>
      <c r="F381" t="s">
        <v>31</v>
      </c>
      <c r="G381" t="s">
        <v>32</v>
      </c>
      <c r="H381" t="s">
        <v>63</v>
      </c>
      <c r="I381" t="s">
        <v>38</v>
      </c>
      <c r="J381">
        <v>7000</v>
      </c>
      <c r="K381">
        <v>3</v>
      </c>
      <c r="L381">
        <v>21000</v>
      </c>
      <c r="M381" t="s">
        <v>24</v>
      </c>
      <c r="N381">
        <v>5</v>
      </c>
      <c r="O381" t="s">
        <v>25</v>
      </c>
      <c r="P381" t="str">
        <f>TEXT(Hospitalitydata[[#This Row],[Booking_Date]],"mmm")</f>
        <v>Feb</v>
      </c>
    </row>
    <row r="382" spans="1:16" x14ac:dyDescent="0.3">
      <c r="A382" t="s">
        <v>782</v>
      </c>
      <c r="B382" t="s">
        <v>122</v>
      </c>
      <c r="C382" t="s">
        <v>783</v>
      </c>
      <c r="D382" t="s">
        <v>581</v>
      </c>
      <c r="E382" t="s">
        <v>127</v>
      </c>
      <c r="F382" t="s">
        <v>87</v>
      </c>
      <c r="G382" t="s">
        <v>32</v>
      </c>
      <c r="H382" t="s">
        <v>63</v>
      </c>
      <c r="I382" t="s">
        <v>23</v>
      </c>
      <c r="J382">
        <v>5500</v>
      </c>
      <c r="K382">
        <v>7</v>
      </c>
      <c r="L382">
        <v>38500</v>
      </c>
      <c r="M382" t="s">
        <v>24</v>
      </c>
      <c r="N382">
        <v>3</v>
      </c>
      <c r="O382" t="s">
        <v>25</v>
      </c>
      <c r="P382" t="str">
        <f>TEXT(Hospitalitydata[[#This Row],[Booking_Date]],"mmm")</f>
        <v>Oct</v>
      </c>
    </row>
    <row r="383" spans="1:16" x14ac:dyDescent="0.3">
      <c r="A383" t="s">
        <v>784</v>
      </c>
      <c r="B383" t="s">
        <v>146</v>
      </c>
      <c r="C383" t="s">
        <v>349</v>
      </c>
      <c r="D383" t="s">
        <v>482</v>
      </c>
      <c r="E383" t="s">
        <v>19</v>
      </c>
      <c r="F383" t="s">
        <v>20</v>
      </c>
      <c r="G383" t="s">
        <v>44</v>
      </c>
      <c r="H383" t="s">
        <v>45</v>
      </c>
      <c r="I383" t="s">
        <v>33</v>
      </c>
      <c r="J383">
        <v>7000</v>
      </c>
      <c r="K383">
        <v>5</v>
      </c>
      <c r="L383">
        <v>35000</v>
      </c>
      <c r="M383" t="s">
        <v>24</v>
      </c>
      <c r="N383">
        <v>5</v>
      </c>
      <c r="O383" t="s">
        <v>25</v>
      </c>
      <c r="P383" t="str">
        <f>TEXT(Hospitalitydata[[#This Row],[Booking_Date]],"mmm")</f>
        <v>Sep</v>
      </c>
    </row>
    <row r="384" spans="1:16" x14ac:dyDescent="0.3">
      <c r="A384" t="s">
        <v>785</v>
      </c>
      <c r="B384" t="s">
        <v>108</v>
      </c>
      <c r="C384" t="s">
        <v>522</v>
      </c>
      <c r="D384" t="s">
        <v>238</v>
      </c>
      <c r="E384" t="s">
        <v>127</v>
      </c>
      <c r="F384" t="s">
        <v>62</v>
      </c>
      <c r="G384" t="s">
        <v>21</v>
      </c>
      <c r="H384" t="s">
        <v>45</v>
      </c>
      <c r="I384" t="s">
        <v>46</v>
      </c>
      <c r="J384">
        <v>3500</v>
      </c>
      <c r="K384">
        <v>2</v>
      </c>
      <c r="L384">
        <v>7000</v>
      </c>
      <c r="M384" t="s">
        <v>24</v>
      </c>
      <c r="N384">
        <v>3</v>
      </c>
      <c r="O384" t="s">
        <v>25</v>
      </c>
      <c r="P384" t="str">
        <f>TEXT(Hospitalitydata[[#This Row],[Booking_Date]],"mmm")</f>
        <v>Apr</v>
      </c>
    </row>
    <row r="385" spans="1:16" x14ac:dyDescent="0.3">
      <c r="A385" t="s">
        <v>786</v>
      </c>
      <c r="B385" t="s">
        <v>569</v>
      </c>
      <c r="C385" t="s">
        <v>81</v>
      </c>
      <c r="D385" t="s">
        <v>52</v>
      </c>
      <c r="E385" t="s">
        <v>127</v>
      </c>
      <c r="F385" t="s">
        <v>31</v>
      </c>
      <c r="G385" t="s">
        <v>44</v>
      </c>
      <c r="H385" t="s">
        <v>63</v>
      </c>
      <c r="I385" t="s">
        <v>38</v>
      </c>
      <c r="J385">
        <v>2500</v>
      </c>
      <c r="K385">
        <v>6</v>
      </c>
      <c r="L385">
        <v>15000</v>
      </c>
      <c r="M385" t="s">
        <v>24</v>
      </c>
      <c r="N385">
        <v>5</v>
      </c>
      <c r="O385" t="s">
        <v>25</v>
      </c>
      <c r="P385" t="str">
        <f>TEXT(Hospitalitydata[[#This Row],[Booking_Date]],"mmm")</f>
        <v>Jun</v>
      </c>
    </row>
    <row r="386" spans="1:16" x14ac:dyDescent="0.3">
      <c r="A386" t="s">
        <v>787</v>
      </c>
      <c r="B386" t="s">
        <v>636</v>
      </c>
      <c r="C386" t="s">
        <v>788</v>
      </c>
      <c r="D386" t="s">
        <v>515</v>
      </c>
      <c r="E386" t="s">
        <v>43</v>
      </c>
      <c r="F386" t="s">
        <v>53</v>
      </c>
      <c r="G386" t="s">
        <v>32</v>
      </c>
      <c r="H386" t="s">
        <v>45</v>
      </c>
      <c r="I386" t="s">
        <v>23</v>
      </c>
      <c r="J386">
        <v>7000</v>
      </c>
      <c r="K386">
        <v>6</v>
      </c>
      <c r="L386">
        <v>42000</v>
      </c>
      <c r="M386" t="s">
        <v>24</v>
      </c>
      <c r="N386">
        <v>4</v>
      </c>
      <c r="O386" t="s">
        <v>25</v>
      </c>
      <c r="P386" t="str">
        <f>TEXT(Hospitalitydata[[#This Row],[Booking_Date]],"mmm")</f>
        <v>Jan</v>
      </c>
    </row>
    <row r="387" spans="1:16" x14ac:dyDescent="0.3">
      <c r="A387" t="s">
        <v>789</v>
      </c>
      <c r="B387" t="s">
        <v>399</v>
      </c>
      <c r="C387" t="s">
        <v>77</v>
      </c>
      <c r="D387" t="s">
        <v>532</v>
      </c>
      <c r="E387" t="s">
        <v>37</v>
      </c>
      <c r="F387" t="s">
        <v>53</v>
      </c>
      <c r="G387" t="s">
        <v>44</v>
      </c>
      <c r="H387" t="s">
        <v>63</v>
      </c>
      <c r="I387" t="s">
        <v>38</v>
      </c>
      <c r="J387">
        <v>2500</v>
      </c>
      <c r="K387">
        <v>7</v>
      </c>
      <c r="L387">
        <v>17500</v>
      </c>
      <c r="M387" t="s">
        <v>24</v>
      </c>
      <c r="N387">
        <v>5</v>
      </c>
      <c r="O387" t="s">
        <v>25</v>
      </c>
      <c r="P387" t="str">
        <f>TEXT(Hospitalitydata[[#This Row],[Booking_Date]],"mmm")</f>
        <v>Feb</v>
      </c>
    </row>
    <row r="388" spans="1:16" x14ac:dyDescent="0.3">
      <c r="A388" t="s">
        <v>790</v>
      </c>
      <c r="B388" t="s">
        <v>512</v>
      </c>
      <c r="C388" t="s">
        <v>86</v>
      </c>
      <c r="D388" t="s">
        <v>28</v>
      </c>
      <c r="E388" t="s">
        <v>19</v>
      </c>
      <c r="F388" t="s">
        <v>31</v>
      </c>
      <c r="G388" t="s">
        <v>21</v>
      </c>
      <c r="H388" t="s">
        <v>22</v>
      </c>
      <c r="I388" t="s">
        <v>38</v>
      </c>
      <c r="J388">
        <v>2500</v>
      </c>
      <c r="K388">
        <v>4</v>
      </c>
      <c r="L388">
        <v>10000</v>
      </c>
      <c r="M388" t="s">
        <v>24</v>
      </c>
      <c r="N388">
        <v>4</v>
      </c>
      <c r="O388" t="s">
        <v>25</v>
      </c>
      <c r="P388" t="str">
        <f>TEXT(Hospitalitydata[[#This Row],[Booking_Date]],"mmm")</f>
        <v>Oct</v>
      </c>
    </row>
    <row r="389" spans="1:16" x14ac:dyDescent="0.3">
      <c r="A389" t="s">
        <v>791</v>
      </c>
      <c r="B389" t="s">
        <v>386</v>
      </c>
      <c r="C389" t="s">
        <v>788</v>
      </c>
      <c r="D389" t="s">
        <v>104</v>
      </c>
      <c r="E389" t="s">
        <v>127</v>
      </c>
      <c r="F389" t="s">
        <v>87</v>
      </c>
      <c r="G389" t="s">
        <v>44</v>
      </c>
      <c r="H389" t="s">
        <v>45</v>
      </c>
      <c r="I389" t="s">
        <v>46</v>
      </c>
      <c r="J389">
        <v>9000</v>
      </c>
      <c r="K389">
        <v>3</v>
      </c>
      <c r="L389">
        <v>27000</v>
      </c>
      <c r="M389" t="s">
        <v>24</v>
      </c>
      <c r="N389">
        <v>5</v>
      </c>
      <c r="O389" t="s">
        <v>25</v>
      </c>
      <c r="P389" t="str">
        <f>TEXT(Hospitalitydata[[#This Row],[Booking_Date]],"mmm")</f>
        <v>Jan</v>
      </c>
    </row>
    <row r="390" spans="1:16" x14ac:dyDescent="0.3">
      <c r="A390" t="s">
        <v>792</v>
      </c>
      <c r="B390" t="s">
        <v>294</v>
      </c>
      <c r="C390" t="s">
        <v>291</v>
      </c>
      <c r="D390" t="s">
        <v>324</v>
      </c>
      <c r="E390" t="s">
        <v>19</v>
      </c>
      <c r="F390" t="s">
        <v>62</v>
      </c>
      <c r="G390" t="s">
        <v>44</v>
      </c>
      <c r="H390" t="s">
        <v>22</v>
      </c>
      <c r="I390" t="s">
        <v>38</v>
      </c>
      <c r="J390">
        <v>5500</v>
      </c>
      <c r="K390">
        <v>3</v>
      </c>
      <c r="L390">
        <v>16500</v>
      </c>
      <c r="M390" t="s">
        <v>47</v>
      </c>
      <c r="N390">
        <v>1</v>
      </c>
      <c r="O390" t="s">
        <v>48</v>
      </c>
      <c r="P390" t="str">
        <f>TEXT(Hospitalitydata[[#This Row],[Booking_Date]],"mmm")</f>
        <v>Jun</v>
      </c>
    </row>
    <row r="391" spans="1:16" x14ac:dyDescent="0.3">
      <c r="A391" t="s">
        <v>793</v>
      </c>
      <c r="B391" t="s">
        <v>794</v>
      </c>
      <c r="C391" t="s">
        <v>455</v>
      </c>
      <c r="D391" t="s">
        <v>457</v>
      </c>
      <c r="E391" t="s">
        <v>19</v>
      </c>
      <c r="F391" t="s">
        <v>53</v>
      </c>
      <c r="G391" t="s">
        <v>32</v>
      </c>
      <c r="H391" t="s">
        <v>63</v>
      </c>
      <c r="I391" t="s">
        <v>38</v>
      </c>
      <c r="J391">
        <v>5500</v>
      </c>
      <c r="K391">
        <v>6</v>
      </c>
      <c r="L391">
        <v>33000</v>
      </c>
      <c r="M391" t="s">
        <v>24</v>
      </c>
      <c r="N391">
        <v>3</v>
      </c>
      <c r="O391" t="s">
        <v>25</v>
      </c>
      <c r="P391" t="str">
        <f>TEXT(Hospitalitydata[[#This Row],[Booking_Date]],"mmm")</f>
        <v>Jun</v>
      </c>
    </row>
    <row r="392" spans="1:16" x14ac:dyDescent="0.3">
      <c r="A392" t="s">
        <v>795</v>
      </c>
      <c r="B392" t="s">
        <v>257</v>
      </c>
      <c r="C392" t="s">
        <v>512</v>
      </c>
      <c r="D392" t="s">
        <v>198</v>
      </c>
      <c r="E392" t="s">
        <v>43</v>
      </c>
      <c r="F392" t="s">
        <v>87</v>
      </c>
      <c r="G392" t="s">
        <v>21</v>
      </c>
      <c r="H392" t="s">
        <v>22</v>
      </c>
      <c r="I392" t="s">
        <v>38</v>
      </c>
      <c r="J392">
        <v>2500</v>
      </c>
      <c r="K392">
        <v>3</v>
      </c>
      <c r="L392">
        <v>7500</v>
      </c>
      <c r="M392" t="s">
        <v>24</v>
      </c>
      <c r="N392">
        <v>3</v>
      </c>
      <c r="O392" t="s">
        <v>25</v>
      </c>
      <c r="P392" t="str">
        <f>TEXT(Hospitalitydata[[#This Row],[Booking_Date]],"mmm")</f>
        <v>Sep</v>
      </c>
    </row>
    <row r="393" spans="1:16" x14ac:dyDescent="0.3">
      <c r="A393" t="s">
        <v>796</v>
      </c>
      <c r="B393" t="s">
        <v>555</v>
      </c>
      <c r="C393" t="s">
        <v>616</v>
      </c>
      <c r="D393" t="s">
        <v>797</v>
      </c>
      <c r="E393" t="s">
        <v>19</v>
      </c>
      <c r="F393" t="s">
        <v>62</v>
      </c>
      <c r="G393" t="s">
        <v>32</v>
      </c>
      <c r="H393" t="s">
        <v>45</v>
      </c>
      <c r="I393" t="s">
        <v>33</v>
      </c>
      <c r="J393">
        <v>7000</v>
      </c>
      <c r="K393">
        <v>7</v>
      </c>
      <c r="L393">
        <v>49000</v>
      </c>
      <c r="M393" t="s">
        <v>47</v>
      </c>
      <c r="N393">
        <v>1</v>
      </c>
      <c r="O393" t="s">
        <v>48</v>
      </c>
      <c r="P393" t="str">
        <f>TEXT(Hospitalitydata[[#This Row],[Booking_Date]],"mmm")</f>
        <v>Mar</v>
      </c>
    </row>
    <row r="394" spans="1:16" x14ac:dyDescent="0.3">
      <c r="A394" t="s">
        <v>798</v>
      </c>
      <c r="B394" t="s">
        <v>623</v>
      </c>
      <c r="C394" t="s">
        <v>95</v>
      </c>
      <c r="D394" t="s">
        <v>788</v>
      </c>
      <c r="E394" t="s">
        <v>37</v>
      </c>
      <c r="F394" t="s">
        <v>53</v>
      </c>
      <c r="G394" t="s">
        <v>21</v>
      </c>
      <c r="H394" t="s">
        <v>63</v>
      </c>
      <c r="I394" t="s">
        <v>23</v>
      </c>
      <c r="J394">
        <v>4500</v>
      </c>
      <c r="K394">
        <v>1</v>
      </c>
      <c r="L394">
        <v>4500</v>
      </c>
      <c r="M394" t="s">
        <v>24</v>
      </c>
      <c r="N394">
        <v>4</v>
      </c>
      <c r="O394" t="s">
        <v>25</v>
      </c>
      <c r="P394" t="str">
        <f>TEXT(Hospitalitydata[[#This Row],[Booking_Date]],"mmm")</f>
        <v>Jan</v>
      </c>
    </row>
    <row r="395" spans="1:16" x14ac:dyDescent="0.3">
      <c r="A395" t="s">
        <v>799</v>
      </c>
      <c r="B395" t="s">
        <v>57</v>
      </c>
      <c r="C395" t="s">
        <v>89</v>
      </c>
      <c r="D395" t="s">
        <v>266</v>
      </c>
      <c r="E395" t="s">
        <v>19</v>
      </c>
      <c r="F395" t="s">
        <v>53</v>
      </c>
      <c r="G395" t="s">
        <v>21</v>
      </c>
      <c r="H395" t="s">
        <v>22</v>
      </c>
      <c r="I395" t="s">
        <v>46</v>
      </c>
      <c r="J395">
        <v>4500</v>
      </c>
      <c r="K395">
        <v>2</v>
      </c>
      <c r="L395">
        <v>9000</v>
      </c>
      <c r="M395" t="s">
        <v>24</v>
      </c>
      <c r="N395">
        <v>4</v>
      </c>
      <c r="O395" t="s">
        <v>25</v>
      </c>
      <c r="P395" t="str">
        <f>TEXT(Hospitalitydata[[#This Row],[Booking_Date]],"mmm")</f>
        <v>Dec</v>
      </c>
    </row>
    <row r="396" spans="1:16" x14ac:dyDescent="0.3">
      <c r="A396" t="s">
        <v>800</v>
      </c>
      <c r="B396" t="s">
        <v>50</v>
      </c>
      <c r="C396" t="s">
        <v>167</v>
      </c>
      <c r="D396" t="s">
        <v>473</v>
      </c>
      <c r="E396" t="s">
        <v>43</v>
      </c>
      <c r="F396" t="s">
        <v>87</v>
      </c>
      <c r="G396" t="s">
        <v>32</v>
      </c>
      <c r="H396" t="s">
        <v>63</v>
      </c>
      <c r="I396" t="s">
        <v>23</v>
      </c>
      <c r="J396">
        <v>4500</v>
      </c>
      <c r="K396">
        <v>7</v>
      </c>
      <c r="L396">
        <v>31500</v>
      </c>
      <c r="M396" t="s">
        <v>24</v>
      </c>
      <c r="N396">
        <v>5</v>
      </c>
      <c r="O396" t="s">
        <v>25</v>
      </c>
      <c r="P396" t="str">
        <f>TEXT(Hospitalitydata[[#This Row],[Booking_Date]],"mmm")</f>
        <v>Jun</v>
      </c>
    </row>
    <row r="397" spans="1:16" x14ac:dyDescent="0.3">
      <c r="A397" t="s">
        <v>801</v>
      </c>
      <c r="B397" t="s">
        <v>428</v>
      </c>
      <c r="C397" t="s">
        <v>690</v>
      </c>
      <c r="D397" t="s">
        <v>730</v>
      </c>
      <c r="E397" t="s">
        <v>19</v>
      </c>
      <c r="F397" t="s">
        <v>87</v>
      </c>
      <c r="G397" t="s">
        <v>21</v>
      </c>
      <c r="H397" t="s">
        <v>63</v>
      </c>
      <c r="I397" t="s">
        <v>23</v>
      </c>
      <c r="J397">
        <v>3500</v>
      </c>
      <c r="K397">
        <v>5</v>
      </c>
      <c r="L397">
        <v>17500</v>
      </c>
      <c r="M397" t="s">
        <v>47</v>
      </c>
      <c r="N397">
        <v>2</v>
      </c>
      <c r="O397" t="s">
        <v>48</v>
      </c>
      <c r="P397" t="str">
        <f>TEXT(Hospitalitydata[[#This Row],[Booking_Date]],"mmm")</f>
        <v>Mar</v>
      </c>
    </row>
    <row r="398" spans="1:16" x14ac:dyDescent="0.3">
      <c r="A398" t="s">
        <v>802</v>
      </c>
      <c r="B398" t="s">
        <v>89</v>
      </c>
      <c r="C398" t="s">
        <v>265</v>
      </c>
      <c r="D398" t="s">
        <v>269</v>
      </c>
      <c r="E398" t="s">
        <v>43</v>
      </c>
      <c r="F398" t="s">
        <v>62</v>
      </c>
      <c r="G398" t="s">
        <v>44</v>
      </c>
      <c r="H398" t="s">
        <v>22</v>
      </c>
      <c r="I398" t="s">
        <v>46</v>
      </c>
      <c r="J398">
        <v>3500</v>
      </c>
      <c r="K398">
        <v>4</v>
      </c>
      <c r="L398">
        <v>14000</v>
      </c>
      <c r="M398" t="s">
        <v>24</v>
      </c>
      <c r="N398">
        <v>5</v>
      </c>
      <c r="O398" t="s">
        <v>25</v>
      </c>
      <c r="P398" t="str">
        <f>TEXT(Hospitalitydata[[#This Row],[Booking_Date]],"mmm")</f>
        <v>Dec</v>
      </c>
    </row>
    <row r="399" spans="1:16" x14ac:dyDescent="0.3">
      <c r="A399" t="s">
        <v>803</v>
      </c>
      <c r="B399" t="s">
        <v>645</v>
      </c>
      <c r="C399" t="s">
        <v>804</v>
      </c>
      <c r="D399" t="s">
        <v>805</v>
      </c>
      <c r="E399" t="s">
        <v>37</v>
      </c>
      <c r="F399" t="s">
        <v>53</v>
      </c>
      <c r="G399" t="s">
        <v>44</v>
      </c>
      <c r="H399" t="s">
        <v>45</v>
      </c>
      <c r="I399" t="s">
        <v>38</v>
      </c>
      <c r="J399">
        <v>4500</v>
      </c>
      <c r="K399">
        <v>6</v>
      </c>
      <c r="L399">
        <v>27000</v>
      </c>
      <c r="M399" t="s">
        <v>24</v>
      </c>
      <c r="N399">
        <v>4</v>
      </c>
      <c r="O399" t="s">
        <v>25</v>
      </c>
      <c r="P399" t="str">
        <f>TEXT(Hospitalitydata[[#This Row],[Booking_Date]],"mmm")</f>
        <v>Dec</v>
      </c>
    </row>
    <row r="400" spans="1:16" x14ac:dyDescent="0.3">
      <c r="A400" t="s">
        <v>806</v>
      </c>
      <c r="B400" t="s">
        <v>233</v>
      </c>
      <c r="C400" t="s">
        <v>50</v>
      </c>
      <c r="D400" t="s">
        <v>179</v>
      </c>
      <c r="E400" t="s">
        <v>43</v>
      </c>
      <c r="F400" t="s">
        <v>31</v>
      </c>
      <c r="G400" t="s">
        <v>21</v>
      </c>
      <c r="H400" t="s">
        <v>63</v>
      </c>
      <c r="I400" t="s">
        <v>46</v>
      </c>
      <c r="J400">
        <v>7000</v>
      </c>
      <c r="K400">
        <v>5</v>
      </c>
      <c r="L400">
        <v>35000</v>
      </c>
      <c r="M400" t="s">
        <v>24</v>
      </c>
      <c r="N400">
        <v>3</v>
      </c>
      <c r="O400" t="s">
        <v>25</v>
      </c>
      <c r="P400" t="str">
        <f>TEXT(Hospitalitydata[[#This Row],[Booking_Date]],"mmm")</f>
        <v>Jun</v>
      </c>
    </row>
    <row r="401" spans="1:16" x14ac:dyDescent="0.3">
      <c r="A401" t="s">
        <v>807</v>
      </c>
      <c r="B401" t="s">
        <v>240</v>
      </c>
      <c r="C401" t="s">
        <v>40</v>
      </c>
      <c r="D401" t="s">
        <v>166</v>
      </c>
      <c r="E401" t="s">
        <v>37</v>
      </c>
      <c r="F401" t="s">
        <v>87</v>
      </c>
      <c r="G401" t="s">
        <v>44</v>
      </c>
      <c r="H401" t="s">
        <v>22</v>
      </c>
      <c r="I401" t="s">
        <v>46</v>
      </c>
      <c r="J401">
        <v>5500</v>
      </c>
      <c r="K401">
        <v>1</v>
      </c>
      <c r="L401">
        <v>5500</v>
      </c>
      <c r="M401" t="s">
        <v>24</v>
      </c>
      <c r="N401">
        <v>4</v>
      </c>
      <c r="O401" t="s">
        <v>25</v>
      </c>
      <c r="P401" t="str">
        <f>TEXT(Hospitalitydata[[#This Row],[Booking_Date]],"mmm")</f>
        <v>Jun</v>
      </c>
    </row>
    <row r="402" spans="1:16" x14ac:dyDescent="0.3">
      <c r="A402" t="s">
        <v>808</v>
      </c>
      <c r="B402" t="s">
        <v>376</v>
      </c>
      <c r="C402" t="s">
        <v>797</v>
      </c>
      <c r="D402" t="s">
        <v>696</v>
      </c>
      <c r="E402" t="s">
        <v>37</v>
      </c>
      <c r="F402" t="s">
        <v>62</v>
      </c>
      <c r="G402" t="s">
        <v>21</v>
      </c>
      <c r="H402" t="s">
        <v>45</v>
      </c>
      <c r="I402" t="s">
        <v>38</v>
      </c>
      <c r="J402">
        <v>3500</v>
      </c>
      <c r="K402">
        <v>5</v>
      </c>
      <c r="L402">
        <v>17500</v>
      </c>
      <c r="M402" t="s">
        <v>47</v>
      </c>
      <c r="N402">
        <v>4</v>
      </c>
      <c r="O402" t="s">
        <v>48</v>
      </c>
      <c r="P402" t="str">
        <f>TEXT(Hospitalitydata[[#This Row],[Booking_Date]],"mmm")</f>
        <v>Apr</v>
      </c>
    </row>
    <row r="403" spans="1:16" x14ac:dyDescent="0.3">
      <c r="A403" t="s">
        <v>809</v>
      </c>
      <c r="B403" t="s">
        <v>307</v>
      </c>
      <c r="C403" t="s">
        <v>471</v>
      </c>
      <c r="D403" t="s">
        <v>794</v>
      </c>
      <c r="E403" t="s">
        <v>30</v>
      </c>
      <c r="F403" t="s">
        <v>31</v>
      </c>
      <c r="G403" t="s">
        <v>32</v>
      </c>
      <c r="H403" t="s">
        <v>63</v>
      </c>
      <c r="I403" t="s">
        <v>33</v>
      </c>
      <c r="J403">
        <v>5500</v>
      </c>
      <c r="K403">
        <v>4</v>
      </c>
      <c r="L403">
        <v>22000</v>
      </c>
      <c r="M403" t="s">
        <v>24</v>
      </c>
      <c r="N403">
        <v>3</v>
      </c>
      <c r="O403" t="s">
        <v>25</v>
      </c>
      <c r="P403" t="str">
        <f>TEXT(Hospitalitydata[[#This Row],[Booking_Date]],"mmm")</f>
        <v>Jun</v>
      </c>
    </row>
    <row r="404" spans="1:16" x14ac:dyDescent="0.3">
      <c r="A404" t="s">
        <v>810</v>
      </c>
      <c r="B404" t="s">
        <v>266</v>
      </c>
      <c r="C404" t="s">
        <v>439</v>
      </c>
      <c r="D404" t="s">
        <v>152</v>
      </c>
      <c r="E404" t="s">
        <v>30</v>
      </c>
      <c r="F404" t="s">
        <v>87</v>
      </c>
      <c r="G404" t="s">
        <v>32</v>
      </c>
      <c r="H404" t="s">
        <v>22</v>
      </c>
      <c r="I404" t="s">
        <v>33</v>
      </c>
      <c r="J404">
        <v>5500</v>
      </c>
      <c r="K404">
        <v>6</v>
      </c>
      <c r="L404">
        <v>33000</v>
      </c>
      <c r="M404" t="s">
        <v>47</v>
      </c>
      <c r="N404">
        <v>3</v>
      </c>
      <c r="O404" t="s">
        <v>48</v>
      </c>
      <c r="P404" t="str">
        <f>TEXT(Hospitalitydata[[#This Row],[Booking_Date]],"mmm")</f>
        <v>Dec</v>
      </c>
    </row>
    <row r="405" spans="1:16" x14ac:dyDescent="0.3">
      <c r="A405" t="s">
        <v>811</v>
      </c>
      <c r="B405" t="s">
        <v>280</v>
      </c>
      <c r="C405" t="s">
        <v>233</v>
      </c>
      <c r="D405" t="s">
        <v>281</v>
      </c>
      <c r="E405" t="s">
        <v>30</v>
      </c>
      <c r="F405" t="s">
        <v>62</v>
      </c>
      <c r="G405" t="s">
        <v>21</v>
      </c>
      <c r="H405" t="s">
        <v>63</v>
      </c>
      <c r="I405" t="s">
        <v>23</v>
      </c>
      <c r="J405">
        <v>3500</v>
      </c>
      <c r="K405">
        <v>4</v>
      </c>
      <c r="L405">
        <v>14000</v>
      </c>
      <c r="M405" t="s">
        <v>24</v>
      </c>
      <c r="N405">
        <v>5</v>
      </c>
      <c r="O405" t="s">
        <v>25</v>
      </c>
      <c r="P405" t="str">
        <f>TEXT(Hospitalitydata[[#This Row],[Booking_Date]],"mmm")</f>
        <v>May</v>
      </c>
    </row>
    <row r="406" spans="1:16" x14ac:dyDescent="0.3">
      <c r="A406" t="s">
        <v>812</v>
      </c>
      <c r="B406" t="s">
        <v>747</v>
      </c>
      <c r="C406" t="s">
        <v>583</v>
      </c>
      <c r="D406" t="s">
        <v>703</v>
      </c>
      <c r="E406" t="s">
        <v>37</v>
      </c>
      <c r="F406" t="s">
        <v>87</v>
      </c>
      <c r="G406" t="s">
        <v>44</v>
      </c>
      <c r="H406" t="s">
        <v>22</v>
      </c>
      <c r="I406" t="s">
        <v>46</v>
      </c>
      <c r="J406">
        <v>9000</v>
      </c>
      <c r="K406">
        <v>2</v>
      </c>
      <c r="L406">
        <v>18000</v>
      </c>
      <c r="M406" t="s">
        <v>47</v>
      </c>
      <c r="N406">
        <v>4</v>
      </c>
      <c r="O406" t="s">
        <v>48</v>
      </c>
      <c r="P406" t="str">
        <f>TEXT(Hospitalitydata[[#This Row],[Booking_Date]],"mmm")</f>
        <v>Apr</v>
      </c>
    </row>
    <row r="407" spans="1:16" x14ac:dyDescent="0.3">
      <c r="A407" t="s">
        <v>813</v>
      </c>
      <c r="B407" t="s">
        <v>274</v>
      </c>
      <c r="C407" t="s">
        <v>328</v>
      </c>
      <c r="D407" t="s">
        <v>219</v>
      </c>
      <c r="E407" t="s">
        <v>30</v>
      </c>
      <c r="F407" t="s">
        <v>31</v>
      </c>
      <c r="G407" t="s">
        <v>21</v>
      </c>
      <c r="H407" t="s">
        <v>45</v>
      </c>
      <c r="I407" t="s">
        <v>38</v>
      </c>
      <c r="J407">
        <v>5500</v>
      </c>
      <c r="K407">
        <v>1</v>
      </c>
      <c r="L407">
        <v>5500</v>
      </c>
      <c r="M407" t="s">
        <v>24</v>
      </c>
      <c r="N407">
        <v>5</v>
      </c>
      <c r="O407" t="s">
        <v>25</v>
      </c>
      <c r="P407" t="str">
        <f>TEXT(Hospitalitydata[[#This Row],[Booking_Date]],"mmm")</f>
        <v>Aug</v>
      </c>
    </row>
    <row r="408" spans="1:16" x14ac:dyDescent="0.3">
      <c r="A408" t="s">
        <v>814</v>
      </c>
      <c r="B408" t="s">
        <v>405</v>
      </c>
      <c r="C408" t="s">
        <v>730</v>
      </c>
      <c r="D408" t="s">
        <v>603</v>
      </c>
      <c r="E408" t="s">
        <v>127</v>
      </c>
      <c r="F408" t="s">
        <v>20</v>
      </c>
      <c r="G408" t="s">
        <v>32</v>
      </c>
      <c r="H408" t="s">
        <v>45</v>
      </c>
      <c r="I408" t="s">
        <v>33</v>
      </c>
      <c r="J408">
        <v>9000</v>
      </c>
      <c r="K408">
        <v>1</v>
      </c>
      <c r="L408">
        <v>9000</v>
      </c>
      <c r="M408" t="s">
        <v>24</v>
      </c>
      <c r="N408">
        <v>4</v>
      </c>
      <c r="O408" t="s">
        <v>25</v>
      </c>
      <c r="P408" t="str">
        <f>TEXT(Hospitalitydata[[#This Row],[Booking_Date]],"mmm")</f>
        <v>Apr</v>
      </c>
    </row>
    <row r="409" spans="1:16" x14ac:dyDescent="0.3">
      <c r="A409" t="s">
        <v>815</v>
      </c>
      <c r="B409" t="s">
        <v>166</v>
      </c>
      <c r="C409" t="s">
        <v>473</v>
      </c>
      <c r="D409" t="s">
        <v>816</v>
      </c>
      <c r="E409" t="s">
        <v>19</v>
      </c>
      <c r="F409" t="s">
        <v>20</v>
      </c>
      <c r="G409" t="s">
        <v>44</v>
      </c>
      <c r="H409" t="s">
        <v>63</v>
      </c>
      <c r="I409" t="s">
        <v>33</v>
      </c>
      <c r="J409">
        <v>5500</v>
      </c>
      <c r="K409">
        <v>5</v>
      </c>
      <c r="L409">
        <v>27500</v>
      </c>
      <c r="M409" t="s">
        <v>24</v>
      </c>
      <c r="N409">
        <v>5</v>
      </c>
      <c r="O409" t="s">
        <v>25</v>
      </c>
      <c r="P409" t="str">
        <f>TEXT(Hospitalitydata[[#This Row],[Booking_Date]],"mmm")</f>
        <v>Jun</v>
      </c>
    </row>
    <row r="410" spans="1:16" x14ac:dyDescent="0.3">
      <c r="A410" t="s">
        <v>817</v>
      </c>
      <c r="B410" t="s">
        <v>471</v>
      </c>
      <c r="C410" t="s">
        <v>179</v>
      </c>
      <c r="D410" t="s">
        <v>167</v>
      </c>
      <c r="E410" t="s">
        <v>19</v>
      </c>
      <c r="F410" t="s">
        <v>31</v>
      </c>
      <c r="G410" t="s">
        <v>32</v>
      </c>
      <c r="H410" t="s">
        <v>63</v>
      </c>
      <c r="I410" t="s">
        <v>23</v>
      </c>
      <c r="J410">
        <v>2500</v>
      </c>
      <c r="K410">
        <v>1</v>
      </c>
      <c r="L410">
        <v>2500</v>
      </c>
      <c r="M410" t="s">
        <v>24</v>
      </c>
      <c r="N410">
        <v>3</v>
      </c>
      <c r="O410" t="s">
        <v>25</v>
      </c>
      <c r="P410" t="str">
        <f>TEXT(Hospitalitydata[[#This Row],[Booking_Date]],"mmm")</f>
        <v>Jun</v>
      </c>
    </row>
    <row r="411" spans="1:16" x14ac:dyDescent="0.3">
      <c r="A411" t="s">
        <v>818</v>
      </c>
      <c r="B411" t="s">
        <v>453</v>
      </c>
      <c r="C411" t="s">
        <v>143</v>
      </c>
      <c r="D411" t="s">
        <v>98</v>
      </c>
      <c r="E411" t="s">
        <v>127</v>
      </c>
      <c r="F411" t="s">
        <v>53</v>
      </c>
      <c r="G411" t="s">
        <v>32</v>
      </c>
      <c r="H411" t="s">
        <v>45</v>
      </c>
      <c r="I411" t="s">
        <v>33</v>
      </c>
      <c r="J411">
        <v>9000</v>
      </c>
      <c r="K411">
        <v>4</v>
      </c>
      <c r="L411">
        <v>36000</v>
      </c>
      <c r="M411" t="s">
        <v>24</v>
      </c>
      <c r="N411">
        <v>4</v>
      </c>
      <c r="O411" t="s">
        <v>25</v>
      </c>
      <c r="P411" t="str">
        <f>TEXT(Hospitalitydata[[#This Row],[Booking_Date]],"mmm")</f>
        <v>Mar</v>
      </c>
    </row>
    <row r="412" spans="1:16" x14ac:dyDescent="0.3">
      <c r="A412" t="s">
        <v>819</v>
      </c>
      <c r="B412" t="s">
        <v>544</v>
      </c>
      <c r="C412" t="s">
        <v>345</v>
      </c>
      <c r="D412" t="s">
        <v>82</v>
      </c>
      <c r="E412" t="s">
        <v>43</v>
      </c>
      <c r="F412" t="s">
        <v>62</v>
      </c>
      <c r="G412" t="s">
        <v>32</v>
      </c>
      <c r="H412" t="s">
        <v>22</v>
      </c>
      <c r="I412" t="s">
        <v>46</v>
      </c>
      <c r="J412">
        <v>7000</v>
      </c>
      <c r="K412">
        <v>3</v>
      </c>
      <c r="L412">
        <v>21000</v>
      </c>
      <c r="M412" t="s">
        <v>24</v>
      </c>
      <c r="N412">
        <v>5</v>
      </c>
      <c r="O412" t="s">
        <v>25</v>
      </c>
      <c r="P412" t="str">
        <f>TEXT(Hospitalitydata[[#This Row],[Booking_Date]],"mmm")</f>
        <v>Jul</v>
      </c>
    </row>
    <row r="413" spans="1:16" x14ac:dyDescent="0.3">
      <c r="A413" t="s">
        <v>820</v>
      </c>
      <c r="B413" t="s">
        <v>230</v>
      </c>
      <c r="C413" t="s">
        <v>794</v>
      </c>
      <c r="D413" t="s">
        <v>291</v>
      </c>
      <c r="E413" t="s">
        <v>19</v>
      </c>
      <c r="F413" t="s">
        <v>20</v>
      </c>
      <c r="G413" t="s">
        <v>32</v>
      </c>
      <c r="H413" t="s">
        <v>63</v>
      </c>
      <c r="I413" t="s">
        <v>46</v>
      </c>
      <c r="J413">
        <v>5500</v>
      </c>
      <c r="K413">
        <v>1</v>
      </c>
      <c r="L413">
        <v>5500</v>
      </c>
      <c r="M413" t="s">
        <v>24</v>
      </c>
      <c r="N413">
        <v>4</v>
      </c>
      <c r="O413" t="s">
        <v>25</v>
      </c>
      <c r="P413" t="str">
        <f>TEXT(Hospitalitydata[[#This Row],[Booking_Date]],"mmm")</f>
        <v>Jun</v>
      </c>
    </row>
    <row r="414" spans="1:16" x14ac:dyDescent="0.3">
      <c r="A414" t="s">
        <v>821</v>
      </c>
      <c r="B414" t="s">
        <v>360</v>
      </c>
      <c r="C414" t="s">
        <v>146</v>
      </c>
      <c r="D414" t="s">
        <v>466</v>
      </c>
      <c r="E414" t="s">
        <v>19</v>
      </c>
      <c r="F414" t="s">
        <v>87</v>
      </c>
      <c r="G414" t="s">
        <v>44</v>
      </c>
      <c r="H414" t="s">
        <v>63</v>
      </c>
      <c r="I414" t="s">
        <v>33</v>
      </c>
      <c r="J414">
        <v>7000</v>
      </c>
      <c r="K414">
        <v>5</v>
      </c>
      <c r="L414">
        <v>35000</v>
      </c>
      <c r="M414" t="s">
        <v>24</v>
      </c>
      <c r="N414">
        <v>4</v>
      </c>
      <c r="O414" t="s">
        <v>25</v>
      </c>
      <c r="P414" t="str">
        <f>TEXT(Hospitalitydata[[#This Row],[Booking_Date]],"mmm")</f>
        <v>Aug</v>
      </c>
    </row>
    <row r="415" spans="1:16" x14ac:dyDescent="0.3">
      <c r="A415" t="s">
        <v>822</v>
      </c>
      <c r="B415" t="s">
        <v>79</v>
      </c>
      <c r="C415" t="s">
        <v>608</v>
      </c>
      <c r="D415" t="s">
        <v>681</v>
      </c>
      <c r="E415" t="s">
        <v>19</v>
      </c>
      <c r="F415" t="s">
        <v>62</v>
      </c>
      <c r="G415" t="s">
        <v>21</v>
      </c>
      <c r="H415" t="s">
        <v>45</v>
      </c>
      <c r="I415" t="s">
        <v>33</v>
      </c>
      <c r="J415">
        <v>5500</v>
      </c>
      <c r="K415">
        <v>7</v>
      </c>
      <c r="L415">
        <v>38500</v>
      </c>
      <c r="M415" t="s">
        <v>24</v>
      </c>
      <c r="N415">
        <v>3</v>
      </c>
      <c r="O415" t="s">
        <v>25</v>
      </c>
      <c r="P415" t="str">
        <f>TEXT(Hospitalitydata[[#This Row],[Booking_Date]],"mmm")</f>
        <v>Mar</v>
      </c>
    </row>
    <row r="416" spans="1:16" x14ac:dyDescent="0.3">
      <c r="A416" t="s">
        <v>823</v>
      </c>
      <c r="B416" t="s">
        <v>606</v>
      </c>
      <c r="C416" t="s">
        <v>196</v>
      </c>
      <c r="D416" t="s">
        <v>214</v>
      </c>
      <c r="E416" t="s">
        <v>37</v>
      </c>
      <c r="F416" t="s">
        <v>31</v>
      </c>
      <c r="G416" t="s">
        <v>21</v>
      </c>
      <c r="H416" t="s">
        <v>45</v>
      </c>
      <c r="I416" t="s">
        <v>23</v>
      </c>
      <c r="J416">
        <v>9000</v>
      </c>
      <c r="K416">
        <v>6</v>
      </c>
      <c r="L416">
        <v>54000</v>
      </c>
      <c r="M416" t="s">
        <v>24</v>
      </c>
      <c r="N416">
        <v>4</v>
      </c>
      <c r="O416" t="s">
        <v>25</v>
      </c>
      <c r="P416" t="str">
        <f>TEXT(Hospitalitydata[[#This Row],[Booking_Date]],"mmm")</f>
        <v>Mar</v>
      </c>
    </row>
    <row r="417" spans="1:16" x14ac:dyDescent="0.3">
      <c r="A417" t="s">
        <v>824</v>
      </c>
      <c r="B417" t="s">
        <v>264</v>
      </c>
      <c r="C417" t="s">
        <v>503</v>
      </c>
      <c r="D417" t="s">
        <v>57</v>
      </c>
      <c r="E417" t="s">
        <v>127</v>
      </c>
      <c r="F417" t="s">
        <v>53</v>
      </c>
      <c r="G417" t="s">
        <v>44</v>
      </c>
      <c r="H417" t="s">
        <v>45</v>
      </c>
      <c r="I417" t="s">
        <v>46</v>
      </c>
      <c r="J417">
        <v>2500</v>
      </c>
      <c r="K417">
        <v>6</v>
      </c>
      <c r="L417">
        <v>15000</v>
      </c>
      <c r="M417" t="s">
        <v>24</v>
      </c>
      <c r="N417">
        <v>3</v>
      </c>
      <c r="O417" t="s">
        <v>25</v>
      </c>
      <c r="P417" t="str">
        <f>TEXT(Hospitalitydata[[#This Row],[Booking_Date]],"mmm")</f>
        <v>Dec</v>
      </c>
    </row>
    <row r="418" spans="1:16" x14ac:dyDescent="0.3">
      <c r="A418" t="s">
        <v>825</v>
      </c>
      <c r="B418" t="s">
        <v>124</v>
      </c>
      <c r="C418" t="s">
        <v>328</v>
      </c>
      <c r="D418" t="s">
        <v>488</v>
      </c>
      <c r="E418" t="s">
        <v>43</v>
      </c>
      <c r="F418" t="s">
        <v>87</v>
      </c>
      <c r="G418" t="s">
        <v>44</v>
      </c>
      <c r="H418" t="s">
        <v>22</v>
      </c>
      <c r="I418" t="s">
        <v>23</v>
      </c>
      <c r="J418">
        <v>3500</v>
      </c>
      <c r="K418">
        <v>2</v>
      </c>
      <c r="L418">
        <v>7000</v>
      </c>
      <c r="M418" t="s">
        <v>24</v>
      </c>
      <c r="N418">
        <v>5</v>
      </c>
      <c r="O418" t="s">
        <v>25</v>
      </c>
      <c r="P418" t="str">
        <f>TEXT(Hospitalitydata[[#This Row],[Booking_Date]],"mmm")</f>
        <v>Aug</v>
      </c>
    </row>
    <row r="419" spans="1:16" x14ac:dyDescent="0.3">
      <c r="A419" t="s">
        <v>826</v>
      </c>
      <c r="B419" t="s">
        <v>164</v>
      </c>
      <c r="C419" t="s">
        <v>322</v>
      </c>
      <c r="D419" t="s">
        <v>642</v>
      </c>
      <c r="E419" t="s">
        <v>127</v>
      </c>
      <c r="F419" t="s">
        <v>20</v>
      </c>
      <c r="G419" t="s">
        <v>21</v>
      </c>
      <c r="H419" t="s">
        <v>22</v>
      </c>
      <c r="I419" t="s">
        <v>23</v>
      </c>
      <c r="J419">
        <v>7000</v>
      </c>
      <c r="K419">
        <v>3</v>
      </c>
      <c r="L419">
        <v>21000</v>
      </c>
      <c r="M419" t="s">
        <v>24</v>
      </c>
      <c r="N419">
        <v>3</v>
      </c>
      <c r="O419" t="s">
        <v>25</v>
      </c>
      <c r="P419" t="str">
        <f>TEXT(Hospitalitydata[[#This Row],[Booking_Date]],"mmm")</f>
        <v>Dec</v>
      </c>
    </row>
    <row r="420" spans="1:16" x14ac:dyDescent="0.3">
      <c r="A420" t="s">
        <v>827</v>
      </c>
      <c r="B420" t="s">
        <v>171</v>
      </c>
      <c r="C420" t="s">
        <v>828</v>
      </c>
      <c r="D420" t="s">
        <v>294</v>
      </c>
      <c r="E420" t="s">
        <v>19</v>
      </c>
      <c r="F420" t="s">
        <v>87</v>
      </c>
      <c r="G420" t="s">
        <v>21</v>
      </c>
      <c r="H420" t="s">
        <v>45</v>
      </c>
      <c r="I420" t="s">
        <v>46</v>
      </c>
      <c r="J420">
        <v>2500</v>
      </c>
      <c r="K420">
        <v>7</v>
      </c>
      <c r="L420">
        <v>17500</v>
      </c>
      <c r="M420" t="s">
        <v>24</v>
      </c>
      <c r="N420">
        <v>5</v>
      </c>
      <c r="O420" t="s">
        <v>25</v>
      </c>
      <c r="P420" t="str">
        <f>TEXT(Hospitalitydata[[#This Row],[Booking_Date]],"mmm")</f>
        <v>May</v>
      </c>
    </row>
    <row r="421" spans="1:16" x14ac:dyDescent="0.3">
      <c r="A421" t="s">
        <v>829</v>
      </c>
      <c r="B421" t="s">
        <v>36</v>
      </c>
      <c r="C421" t="s">
        <v>193</v>
      </c>
      <c r="D421" t="s">
        <v>830</v>
      </c>
      <c r="E421" t="s">
        <v>19</v>
      </c>
      <c r="F421" t="s">
        <v>53</v>
      </c>
      <c r="G421" t="s">
        <v>44</v>
      </c>
      <c r="H421" t="s">
        <v>45</v>
      </c>
      <c r="I421" t="s">
        <v>23</v>
      </c>
      <c r="J421">
        <v>3500</v>
      </c>
      <c r="K421">
        <v>3</v>
      </c>
      <c r="L421">
        <v>10500</v>
      </c>
      <c r="M421" t="s">
        <v>24</v>
      </c>
      <c r="N421">
        <v>4</v>
      </c>
      <c r="O421" t="s">
        <v>25</v>
      </c>
      <c r="P421" t="str">
        <f>TEXT(Hospitalitydata[[#This Row],[Booking_Date]],"mmm")</f>
        <v>Dec</v>
      </c>
    </row>
    <row r="422" spans="1:16" x14ac:dyDescent="0.3">
      <c r="A422" t="s">
        <v>831</v>
      </c>
      <c r="B422" t="s">
        <v>636</v>
      </c>
      <c r="C422" t="s">
        <v>506</v>
      </c>
      <c r="D422" t="s">
        <v>387</v>
      </c>
      <c r="E422" t="s">
        <v>127</v>
      </c>
      <c r="F422" t="s">
        <v>62</v>
      </c>
      <c r="G422" t="s">
        <v>32</v>
      </c>
      <c r="H422" t="s">
        <v>22</v>
      </c>
      <c r="I422" t="s">
        <v>23</v>
      </c>
      <c r="J422">
        <v>2500</v>
      </c>
      <c r="K422">
        <v>1</v>
      </c>
      <c r="L422">
        <v>2500</v>
      </c>
      <c r="M422" t="s">
        <v>24</v>
      </c>
      <c r="N422">
        <v>5</v>
      </c>
      <c r="O422" t="s">
        <v>25</v>
      </c>
      <c r="P422" t="str">
        <f>TEXT(Hospitalitydata[[#This Row],[Booking_Date]],"mmm")</f>
        <v>Jan</v>
      </c>
    </row>
    <row r="423" spans="1:16" x14ac:dyDescent="0.3">
      <c r="A423" t="s">
        <v>832</v>
      </c>
      <c r="B423" t="s">
        <v>137</v>
      </c>
      <c r="C423" t="s">
        <v>532</v>
      </c>
      <c r="D423" t="s">
        <v>428</v>
      </c>
      <c r="E423" t="s">
        <v>37</v>
      </c>
      <c r="F423" t="s">
        <v>53</v>
      </c>
      <c r="G423" t="s">
        <v>32</v>
      </c>
      <c r="H423" t="s">
        <v>45</v>
      </c>
      <c r="I423" t="s">
        <v>33</v>
      </c>
      <c r="J423">
        <v>9000</v>
      </c>
      <c r="K423">
        <v>3</v>
      </c>
      <c r="L423">
        <v>27000</v>
      </c>
      <c r="M423" t="s">
        <v>24</v>
      </c>
      <c r="N423">
        <v>4</v>
      </c>
      <c r="O423" t="s">
        <v>25</v>
      </c>
      <c r="P423" t="str">
        <f>TEXT(Hospitalitydata[[#This Row],[Booking_Date]],"mmm")</f>
        <v>Feb</v>
      </c>
    </row>
    <row r="424" spans="1:16" x14ac:dyDescent="0.3">
      <c r="A424" t="s">
        <v>833</v>
      </c>
      <c r="B424" t="s">
        <v>834</v>
      </c>
      <c r="C424" t="s">
        <v>711</v>
      </c>
      <c r="D424" t="s">
        <v>137</v>
      </c>
      <c r="E424" t="s">
        <v>127</v>
      </c>
      <c r="F424" t="s">
        <v>20</v>
      </c>
      <c r="G424" t="s">
        <v>32</v>
      </c>
      <c r="H424" t="s">
        <v>45</v>
      </c>
      <c r="I424" t="s">
        <v>23</v>
      </c>
      <c r="J424">
        <v>4500</v>
      </c>
      <c r="K424">
        <v>3</v>
      </c>
      <c r="L424">
        <v>13500</v>
      </c>
      <c r="M424" t="s">
        <v>24</v>
      </c>
      <c r="N424">
        <v>4</v>
      </c>
      <c r="O424" t="s">
        <v>25</v>
      </c>
      <c r="P424" t="str">
        <f>TEXT(Hospitalitydata[[#This Row],[Booking_Date]],"mmm")</f>
        <v>Jan</v>
      </c>
    </row>
    <row r="425" spans="1:16" x14ac:dyDescent="0.3">
      <c r="A425" t="s">
        <v>835</v>
      </c>
      <c r="B425" t="s">
        <v>61</v>
      </c>
      <c r="C425" t="s">
        <v>431</v>
      </c>
      <c r="D425" t="s">
        <v>287</v>
      </c>
      <c r="E425" t="s">
        <v>30</v>
      </c>
      <c r="F425" t="s">
        <v>87</v>
      </c>
      <c r="G425" t="s">
        <v>21</v>
      </c>
      <c r="H425" t="s">
        <v>45</v>
      </c>
      <c r="I425" t="s">
        <v>46</v>
      </c>
      <c r="J425">
        <v>3500</v>
      </c>
      <c r="K425">
        <v>6</v>
      </c>
      <c r="L425">
        <v>21000</v>
      </c>
      <c r="M425" t="s">
        <v>24</v>
      </c>
      <c r="N425">
        <v>4</v>
      </c>
      <c r="O425" t="s">
        <v>25</v>
      </c>
      <c r="P425" t="str">
        <f>TEXT(Hospitalitydata[[#This Row],[Booking_Date]],"mmm")</f>
        <v>Mar</v>
      </c>
    </row>
    <row r="426" spans="1:16" x14ac:dyDescent="0.3">
      <c r="A426" t="s">
        <v>836</v>
      </c>
      <c r="B426" t="s">
        <v>166</v>
      </c>
      <c r="C426" t="s">
        <v>179</v>
      </c>
      <c r="D426" t="s">
        <v>167</v>
      </c>
      <c r="E426" t="s">
        <v>37</v>
      </c>
      <c r="F426" t="s">
        <v>53</v>
      </c>
      <c r="G426" t="s">
        <v>21</v>
      </c>
      <c r="H426" t="s">
        <v>63</v>
      </c>
      <c r="I426" t="s">
        <v>38</v>
      </c>
      <c r="J426">
        <v>5500</v>
      </c>
      <c r="K426">
        <v>1</v>
      </c>
      <c r="L426">
        <v>5500</v>
      </c>
      <c r="M426" t="s">
        <v>24</v>
      </c>
      <c r="N426">
        <v>4</v>
      </c>
      <c r="O426" t="s">
        <v>25</v>
      </c>
      <c r="P426" t="str">
        <f>TEXT(Hospitalitydata[[#This Row],[Booking_Date]],"mmm")</f>
        <v>Jun</v>
      </c>
    </row>
    <row r="427" spans="1:16" x14ac:dyDescent="0.3">
      <c r="A427" t="s">
        <v>837</v>
      </c>
      <c r="B427" t="s">
        <v>18</v>
      </c>
      <c r="C427" t="s">
        <v>270</v>
      </c>
      <c r="D427" t="s">
        <v>677</v>
      </c>
      <c r="E427" t="s">
        <v>43</v>
      </c>
      <c r="F427" t="s">
        <v>62</v>
      </c>
      <c r="G427" t="s">
        <v>32</v>
      </c>
      <c r="H427" t="s">
        <v>63</v>
      </c>
      <c r="I427" t="s">
        <v>38</v>
      </c>
      <c r="J427">
        <v>3500</v>
      </c>
      <c r="K427">
        <v>7</v>
      </c>
      <c r="L427">
        <v>24500</v>
      </c>
      <c r="M427" t="s">
        <v>24</v>
      </c>
      <c r="N427">
        <v>5</v>
      </c>
      <c r="O427" t="s">
        <v>25</v>
      </c>
      <c r="P427" t="str">
        <f>TEXT(Hospitalitydata[[#This Row],[Booking_Date]],"mmm")</f>
        <v>Nov</v>
      </c>
    </row>
    <row r="428" spans="1:16" x14ac:dyDescent="0.3">
      <c r="A428" t="s">
        <v>838</v>
      </c>
      <c r="B428" t="s">
        <v>134</v>
      </c>
      <c r="C428" t="s">
        <v>224</v>
      </c>
      <c r="D428" t="s">
        <v>29</v>
      </c>
      <c r="E428" t="s">
        <v>30</v>
      </c>
      <c r="F428" t="s">
        <v>20</v>
      </c>
      <c r="G428" t="s">
        <v>21</v>
      </c>
      <c r="H428" t="s">
        <v>22</v>
      </c>
      <c r="I428" t="s">
        <v>33</v>
      </c>
      <c r="J428">
        <v>3500</v>
      </c>
      <c r="K428">
        <v>4</v>
      </c>
      <c r="L428">
        <v>14000</v>
      </c>
      <c r="M428" t="s">
        <v>24</v>
      </c>
      <c r="N428">
        <v>4</v>
      </c>
      <c r="O428" t="s">
        <v>25</v>
      </c>
      <c r="P428" t="str">
        <f>TEXT(Hospitalitydata[[#This Row],[Booking_Date]],"mmm")</f>
        <v>Oct</v>
      </c>
    </row>
    <row r="429" spans="1:16" x14ac:dyDescent="0.3">
      <c r="A429" t="s">
        <v>839</v>
      </c>
      <c r="B429" t="s">
        <v>251</v>
      </c>
      <c r="C429" t="s">
        <v>329</v>
      </c>
      <c r="D429" t="s">
        <v>482</v>
      </c>
      <c r="E429" t="s">
        <v>43</v>
      </c>
      <c r="F429" t="s">
        <v>20</v>
      </c>
      <c r="G429" t="s">
        <v>44</v>
      </c>
      <c r="H429" t="s">
        <v>22</v>
      </c>
      <c r="I429" t="s">
        <v>46</v>
      </c>
      <c r="J429">
        <v>2500</v>
      </c>
      <c r="K429">
        <v>4</v>
      </c>
      <c r="L429">
        <v>10000</v>
      </c>
      <c r="M429" t="s">
        <v>47</v>
      </c>
      <c r="N429">
        <v>4</v>
      </c>
      <c r="O429" t="s">
        <v>48</v>
      </c>
      <c r="P429" t="str">
        <f>TEXT(Hospitalitydata[[#This Row],[Booking_Date]],"mmm")</f>
        <v>Sep</v>
      </c>
    </row>
    <row r="430" spans="1:16" x14ac:dyDescent="0.3">
      <c r="A430" t="s">
        <v>840</v>
      </c>
      <c r="B430" t="s">
        <v>636</v>
      </c>
      <c r="C430" t="s">
        <v>387</v>
      </c>
      <c r="D430" t="s">
        <v>312</v>
      </c>
      <c r="E430" t="s">
        <v>30</v>
      </c>
      <c r="F430" t="s">
        <v>31</v>
      </c>
      <c r="G430" t="s">
        <v>32</v>
      </c>
      <c r="H430" t="s">
        <v>22</v>
      </c>
      <c r="I430" t="s">
        <v>46</v>
      </c>
      <c r="J430">
        <v>9000</v>
      </c>
      <c r="K430">
        <v>7</v>
      </c>
      <c r="L430">
        <v>63000</v>
      </c>
      <c r="M430" t="s">
        <v>24</v>
      </c>
      <c r="N430">
        <v>5</v>
      </c>
      <c r="O430" t="s">
        <v>25</v>
      </c>
      <c r="P430" t="str">
        <f>TEXT(Hospitalitydata[[#This Row],[Booking_Date]],"mmm")</f>
        <v>Jan</v>
      </c>
    </row>
    <row r="431" spans="1:16" x14ac:dyDescent="0.3">
      <c r="A431" t="s">
        <v>841</v>
      </c>
      <c r="B431" t="s">
        <v>328</v>
      </c>
      <c r="C431" t="s">
        <v>330</v>
      </c>
      <c r="D431" t="s">
        <v>173</v>
      </c>
      <c r="E431" t="s">
        <v>19</v>
      </c>
      <c r="F431" t="s">
        <v>53</v>
      </c>
      <c r="G431" t="s">
        <v>44</v>
      </c>
      <c r="H431" t="s">
        <v>22</v>
      </c>
      <c r="I431" t="s">
        <v>38</v>
      </c>
      <c r="J431">
        <v>9000</v>
      </c>
      <c r="K431">
        <v>6</v>
      </c>
      <c r="L431">
        <v>54000</v>
      </c>
      <c r="M431" t="s">
        <v>24</v>
      </c>
      <c r="N431">
        <v>4</v>
      </c>
      <c r="O431" t="s">
        <v>25</v>
      </c>
      <c r="P431" t="str">
        <f>TEXT(Hospitalitydata[[#This Row],[Booking_Date]],"mmm")</f>
        <v>Sep</v>
      </c>
    </row>
    <row r="432" spans="1:16" x14ac:dyDescent="0.3">
      <c r="A432" t="s">
        <v>842</v>
      </c>
      <c r="B432" t="s">
        <v>732</v>
      </c>
      <c r="C432" t="s">
        <v>843</v>
      </c>
      <c r="D432" t="s">
        <v>289</v>
      </c>
      <c r="E432" t="s">
        <v>43</v>
      </c>
      <c r="F432" t="s">
        <v>62</v>
      </c>
      <c r="G432" t="s">
        <v>21</v>
      </c>
      <c r="H432" t="s">
        <v>63</v>
      </c>
      <c r="I432" t="s">
        <v>38</v>
      </c>
      <c r="J432">
        <v>7000</v>
      </c>
      <c r="K432">
        <v>7</v>
      </c>
      <c r="L432">
        <v>49000</v>
      </c>
      <c r="M432" t="s">
        <v>47</v>
      </c>
      <c r="N432">
        <v>1</v>
      </c>
      <c r="O432" t="s">
        <v>48</v>
      </c>
      <c r="P432" t="str">
        <f>TEXT(Hospitalitydata[[#This Row],[Booking_Date]],"mmm")</f>
        <v>Mar</v>
      </c>
    </row>
    <row r="433" spans="1:16" x14ac:dyDescent="0.3">
      <c r="A433" t="s">
        <v>844</v>
      </c>
      <c r="B433" t="s">
        <v>79</v>
      </c>
      <c r="C433" t="s">
        <v>102</v>
      </c>
      <c r="D433" t="s">
        <v>616</v>
      </c>
      <c r="E433" t="s">
        <v>37</v>
      </c>
      <c r="F433" t="s">
        <v>20</v>
      </c>
      <c r="G433" t="s">
        <v>21</v>
      </c>
      <c r="H433" t="s">
        <v>45</v>
      </c>
      <c r="I433" t="s">
        <v>38</v>
      </c>
      <c r="J433">
        <v>5500</v>
      </c>
      <c r="K433">
        <v>7</v>
      </c>
      <c r="L433">
        <v>38500</v>
      </c>
      <c r="M433" t="s">
        <v>24</v>
      </c>
      <c r="N433">
        <v>4</v>
      </c>
      <c r="O433" t="s">
        <v>25</v>
      </c>
      <c r="P433" t="str">
        <f>TEXT(Hospitalitydata[[#This Row],[Booking_Date]],"mmm")</f>
        <v>Mar</v>
      </c>
    </row>
    <row r="434" spans="1:16" x14ac:dyDescent="0.3">
      <c r="A434" t="s">
        <v>845</v>
      </c>
      <c r="B434" t="s">
        <v>180</v>
      </c>
      <c r="C434" t="s">
        <v>360</v>
      </c>
      <c r="D434" t="s">
        <v>140</v>
      </c>
      <c r="E434" t="s">
        <v>127</v>
      </c>
      <c r="F434" t="s">
        <v>20</v>
      </c>
      <c r="G434" t="s">
        <v>44</v>
      </c>
      <c r="H434" t="s">
        <v>63</v>
      </c>
      <c r="I434" t="s">
        <v>46</v>
      </c>
      <c r="J434">
        <v>2500</v>
      </c>
      <c r="K434">
        <v>2</v>
      </c>
      <c r="L434">
        <v>5000</v>
      </c>
      <c r="M434" t="s">
        <v>24</v>
      </c>
      <c r="N434">
        <v>5</v>
      </c>
      <c r="O434" t="s">
        <v>25</v>
      </c>
      <c r="P434" t="str">
        <f>TEXT(Hospitalitydata[[#This Row],[Booking_Date]],"mmm")</f>
        <v>Jul</v>
      </c>
    </row>
    <row r="435" spans="1:16" x14ac:dyDescent="0.3">
      <c r="A435" t="s">
        <v>846</v>
      </c>
      <c r="B435" t="s">
        <v>105</v>
      </c>
      <c r="C435" t="s">
        <v>732</v>
      </c>
      <c r="D435" t="s">
        <v>78</v>
      </c>
      <c r="E435" t="s">
        <v>127</v>
      </c>
      <c r="F435" t="s">
        <v>20</v>
      </c>
      <c r="G435" t="s">
        <v>21</v>
      </c>
      <c r="H435" t="s">
        <v>22</v>
      </c>
      <c r="I435" t="s">
        <v>23</v>
      </c>
      <c r="J435">
        <v>9000</v>
      </c>
      <c r="K435">
        <v>6</v>
      </c>
      <c r="L435">
        <v>54000</v>
      </c>
      <c r="M435" t="s">
        <v>24</v>
      </c>
      <c r="N435">
        <v>4</v>
      </c>
      <c r="O435" t="s">
        <v>25</v>
      </c>
      <c r="P435" t="str">
        <f>TEXT(Hospitalitydata[[#This Row],[Booking_Date]],"mmm")</f>
        <v>Mar</v>
      </c>
    </row>
    <row r="436" spans="1:16" x14ac:dyDescent="0.3">
      <c r="A436" t="s">
        <v>847</v>
      </c>
      <c r="B436" t="s">
        <v>136</v>
      </c>
      <c r="C436" t="s">
        <v>424</v>
      </c>
      <c r="D436" t="s">
        <v>425</v>
      </c>
      <c r="E436" t="s">
        <v>30</v>
      </c>
      <c r="F436" t="s">
        <v>62</v>
      </c>
      <c r="G436" t="s">
        <v>21</v>
      </c>
      <c r="H436" t="s">
        <v>22</v>
      </c>
      <c r="I436" t="s">
        <v>38</v>
      </c>
      <c r="J436">
        <v>7000</v>
      </c>
      <c r="K436">
        <v>5</v>
      </c>
      <c r="L436">
        <v>35000</v>
      </c>
      <c r="M436" t="s">
        <v>24</v>
      </c>
      <c r="N436">
        <v>5</v>
      </c>
      <c r="O436" t="s">
        <v>25</v>
      </c>
      <c r="P436" t="str">
        <f>TEXT(Hospitalitydata[[#This Row],[Booking_Date]],"mmm")</f>
        <v>Feb</v>
      </c>
    </row>
    <row r="437" spans="1:16" x14ac:dyDescent="0.3">
      <c r="A437" t="s">
        <v>848</v>
      </c>
      <c r="B437" t="s">
        <v>40</v>
      </c>
      <c r="C437" t="s">
        <v>200</v>
      </c>
      <c r="D437" t="s">
        <v>81</v>
      </c>
      <c r="E437" t="s">
        <v>37</v>
      </c>
      <c r="F437" t="s">
        <v>31</v>
      </c>
      <c r="G437" t="s">
        <v>21</v>
      </c>
      <c r="H437" t="s">
        <v>22</v>
      </c>
      <c r="I437" t="s">
        <v>38</v>
      </c>
      <c r="J437">
        <v>2500</v>
      </c>
      <c r="K437">
        <v>7</v>
      </c>
      <c r="L437">
        <v>17500</v>
      </c>
      <c r="M437" t="s">
        <v>24</v>
      </c>
      <c r="N437">
        <v>4</v>
      </c>
      <c r="O437" t="s">
        <v>25</v>
      </c>
      <c r="P437" t="str">
        <f>TEXT(Hospitalitydata[[#This Row],[Booking_Date]],"mmm")</f>
        <v>Jun</v>
      </c>
    </row>
    <row r="438" spans="1:16" x14ac:dyDescent="0.3">
      <c r="A438" t="s">
        <v>849</v>
      </c>
      <c r="B438" t="s">
        <v>668</v>
      </c>
      <c r="C438" t="s">
        <v>57</v>
      </c>
      <c r="D438" t="s">
        <v>269</v>
      </c>
      <c r="E438" t="s">
        <v>19</v>
      </c>
      <c r="F438" t="s">
        <v>20</v>
      </c>
      <c r="G438" t="s">
        <v>44</v>
      </c>
      <c r="H438" t="s">
        <v>63</v>
      </c>
      <c r="I438" t="s">
        <v>46</v>
      </c>
      <c r="J438">
        <v>5500</v>
      </c>
      <c r="K438">
        <v>6</v>
      </c>
      <c r="L438">
        <v>33000</v>
      </c>
      <c r="M438" t="s">
        <v>24</v>
      </c>
      <c r="N438">
        <v>5</v>
      </c>
      <c r="O438" t="s">
        <v>25</v>
      </c>
      <c r="P438" t="str">
        <f>TEXT(Hospitalitydata[[#This Row],[Booking_Date]],"mmm")</f>
        <v>Dec</v>
      </c>
    </row>
    <row r="439" spans="1:16" x14ac:dyDescent="0.3">
      <c r="A439" t="s">
        <v>850</v>
      </c>
      <c r="B439" t="s">
        <v>774</v>
      </c>
      <c r="C439" t="s">
        <v>319</v>
      </c>
      <c r="D439" t="s">
        <v>390</v>
      </c>
      <c r="E439" t="s">
        <v>127</v>
      </c>
      <c r="F439" t="s">
        <v>62</v>
      </c>
      <c r="G439" t="s">
        <v>21</v>
      </c>
      <c r="H439" t="s">
        <v>22</v>
      </c>
      <c r="I439" t="s">
        <v>38</v>
      </c>
      <c r="J439">
        <v>9000</v>
      </c>
      <c r="K439">
        <v>3</v>
      </c>
      <c r="L439">
        <v>27000</v>
      </c>
      <c r="M439" t="s">
        <v>24</v>
      </c>
      <c r="N439">
        <v>3</v>
      </c>
      <c r="O439" t="s">
        <v>25</v>
      </c>
      <c r="P439" t="str">
        <f>TEXT(Hospitalitydata[[#This Row],[Booking_Date]],"mmm")</f>
        <v>Oct</v>
      </c>
    </row>
    <row r="440" spans="1:16" x14ac:dyDescent="0.3">
      <c r="A440" t="s">
        <v>851</v>
      </c>
      <c r="B440" t="s">
        <v>399</v>
      </c>
      <c r="C440" t="s">
        <v>606</v>
      </c>
      <c r="D440" t="s">
        <v>60</v>
      </c>
      <c r="E440" t="s">
        <v>19</v>
      </c>
      <c r="F440" t="s">
        <v>53</v>
      </c>
      <c r="G440" t="s">
        <v>32</v>
      </c>
      <c r="H440" t="s">
        <v>22</v>
      </c>
      <c r="I440" t="s">
        <v>46</v>
      </c>
      <c r="J440">
        <v>3500</v>
      </c>
      <c r="K440">
        <v>5</v>
      </c>
      <c r="L440">
        <v>17500</v>
      </c>
      <c r="M440" t="s">
        <v>24</v>
      </c>
      <c r="N440">
        <v>4</v>
      </c>
      <c r="O440" t="s">
        <v>25</v>
      </c>
      <c r="P440" t="str">
        <f>TEXT(Hospitalitydata[[#This Row],[Booking_Date]],"mmm")</f>
        <v>Feb</v>
      </c>
    </row>
    <row r="441" spans="1:16" x14ac:dyDescent="0.3">
      <c r="A441" t="s">
        <v>852</v>
      </c>
      <c r="B441" t="s">
        <v>131</v>
      </c>
      <c r="C441" t="s">
        <v>532</v>
      </c>
      <c r="D441" t="s">
        <v>79</v>
      </c>
      <c r="E441" t="s">
        <v>127</v>
      </c>
      <c r="F441" t="s">
        <v>53</v>
      </c>
      <c r="G441" t="s">
        <v>21</v>
      </c>
      <c r="H441" t="s">
        <v>22</v>
      </c>
      <c r="I441" t="s">
        <v>33</v>
      </c>
      <c r="J441">
        <v>2500</v>
      </c>
      <c r="K441">
        <v>4</v>
      </c>
      <c r="L441">
        <v>10000</v>
      </c>
      <c r="M441" t="s">
        <v>47</v>
      </c>
      <c r="N441">
        <v>1</v>
      </c>
      <c r="O441" t="s">
        <v>48</v>
      </c>
      <c r="P441" t="str">
        <f>TEXT(Hospitalitydata[[#This Row],[Booking_Date]],"mmm")</f>
        <v>Feb</v>
      </c>
    </row>
    <row r="442" spans="1:16" x14ac:dyDescent="0.3">
      <c r="A442" t="s">
        <v>853</v>
      </c>
      <c r="B442" t="s">
        <v>461</v>
      </c>
      <c r="C442" t="s">
        <v>162</v>
      </c>
      <c r="D442" t="s">
        <v>256</v>
      </c>
      <c r="E442" t="s">
        <v>30</v>
      </c>
      <c r="F442" t="s">
        <v>53</v>
      </c>
      <c r="G442" t="s">
        <v>21</v>
      </c>
      <c r="H442" t="s">
        <v>45</v>
      </c>
      <c r="I442" t="s">
        <v>33</v>
      </c>
      <c r="J442">
        <v>9000</v>
      </c>
      <c r="K442">
        <v>5</v>
      </c>
      <c r="L442">
        <v>45000</v>
      </c>
      <c r="M442" t="s">
        <v>24</v>
      </c>
      <c r="N442">
        <v>4</v>
      </c>
      <c r="O442" t="s">
        <v>25</v>
      </c>
      <c r="P442" t="str">
        <f>TEXT(Hospitalitydata[[#This Row],[Booking_Date]],"mmm")</f>
        <v>Sep</v>
      </c>
    </row>
    <row r="443" spans="1:16" x14ac:dyDescent="0.3">
      <c r="A443" t="s">
        <v>854</v>
      </c>
      <c r="B443" t="s">
        <v>106</v>
      </c>
      <c r="C443" t="s">
        <v>555</v>
      </c>
      <c r="D443" t="s">
        <v>77</v>
      </c>
      <c r="E443" t="s">
        <v>30</v>
      </c>
      <c r="F443" t="s">
        <v>53</v>
      </c>
      <c r="G443" t="s">
        <v>44</v>
      </c>
      <c r="H443" t="s">
        <v>22</v>
      </c>
      <c r="I443" t="s">
        <v>33</v>
      </c>
      <c r="J443">
        <v>9000</v>
      </c>
      <c r="K443">
        <v>4</v>
      </c>
      <c r="L443">
        <v>36000</v>
      </c>
      <c r="M443" t="s">
        <v>24</v>
      </c>
      <c r="N443">
        <v>4</v>
      </c>
      <c r="O443" t="s">
        <v>25</v>
      </c>
      <c r="P443" t="str">
        <f>TEXT(Hospitalitydata[[#This Row],[Booking_Date]],"mmm")</f>
        <v>Mar</v>
      </c>
    </row>
    <row r="444" spans="1:16" x14ac:dyDescent="0.3">
      <c r="A444" t="s">
        <v>855</v>
      </c>
      <c r="B444" t="s">
        <v>254</v>
      </c>
      <c r="C444" t="s">
        <v>244</v>
      </c>
      <c r="D444" t="s">
        <v>304</v>
      </c>
      <c r="E444" t="s">
        <v>19</v>
      </c>
      <c r="F444" t="s">
        <v>53</v>
      </c>
      <c r="G444" t="s">
        <v>21</v>
      </c>
      <c r="H444" t="s">
        <v>22</v>
      </c>
      <c r="I444" t="s">
        <v>46</v>
      </c>
      <c r="J444">
        <v>4500</v>
      </c>
      <c r="K444">
        <v>3</v>
      </c>
      <c r="L444">
        <v>13500</v>
      </c>
      <c r="M444" t="s">
        <v>24</v>
      </c>
      <c r="N444">
        <v>3</v>
      </c>
      <c r="O444" t="s">
        <v>25</v>
      </c>
      <c r="P444" t="str">
        <f>TEXT(Hospitalitydata[[#This Row],[Booking_Date]],"mmm")</f>
        <v>May</v>
      </c>
    </row>
    <row r="445" spans="1:16" x14ac:dyDescent="0.3">
      <c r="A445" t="s">
        <v>856</v>
      </c>
      <c r="B445" t="s">
        <v>642</v>
      </c>
      <c r="C445" t="s">
        <v>830</v>
      </c>
      <c r="D445" t="s">
        <v>449</v>
      </c>
      <c r="E445" t="s">
        <v>19</v>
      </c>
      <c r="F445" t="s">
        <v>62</v>
      </c>
      <c r="G445" t="s">
        <v>32</v>
      </c>
      <c r="H445" t="s">
        <v>22</v>
      </c>
      <c r="I445" t="s">
        <v>46</v>
      </c>
      <c r="J445">
        <v>4500</v>
      </c>
      <c r="K445">
        <v>7</v>
      </c>
      <c r="L445">
        <v>31500</v>
      </c>
      <c r="M445" t="s">
        <v>24</v>
      </c>
      <c r="N445">
        <v>5</v>
      </c>
      <c r="O445" t="s">
        <v>25</v>
      </c>
      <c r="P445" t="str">
        <f>TEXT(Hospitalitydata[[#This Row],[Booking_Date]],"mmm")</f>
        <v>Dec</v>
      </c>
    </row>
    <row r="446" spans="1:16" x14ac:dyDescent="0.3">
      <c r="A446" t="s">
        <v>857</v>
      </c>
      <c r="B446" t="s">
        <v>266</v>
      </c>
      <c r="C446" t="s">
        <v>448</v>
      </c>
      <c r="D446" t="s">
        <v>439</v>
      </c>
      <c r="E446" t="s">
        <v>30</v>
      </c>
      <c r="F446" t="s">
        <v>31</v>
      </c>
      <c r="G446" t="s">
        <v>21</v>
      </c>
      <c r="H446" t="s">
        <v>22</v>
      </c>
      <c r="I446" t="s">
        <v>46</v>
      </c>
      <c r="J446">
        <v>3500</v>
      </c>
      <c r="K446">
        <v>6</v>
      </c>
      <c r="L446">
        <v>21000</v>
      </c>
      <c r="M446" t="s">
        <v>47</v>
      </c>
      <c r="N446">
        <v>2</v>
      </c>
      <c r="O446" t="s">
        <v>48</v>
      </c>
      <c r="P446" t="str">
        <f>TEXT(Hospitalitydata[[#This Row],[Booking_Date]],"mmm")</f>
        <v>Dec</v>
      </c>
    </row>
    <row r="447" spans="1:16" x14ac:dyDescent="0.3">
      <c r="A447" t="s">
        <v>858</v>
      </c>
      <c r="B447" t="s">
        <v>448</v>
      </c>
      <c r="C447" t="s">
        <v>395</v>
      </c>
      <c r="D447" t="s">
        <v>193</v>
      </c>
      <c r="E447" t="s">
        <v>30</v>
      </c>
      <c r="F447" t="s">
        <v>53</v>
      </c>
      <c r="G447" t="s">
        <v>21</v>
      </c>
      <c r="H447" t="s">
        <v>22</v>
      </c>
      <c r="I447" t="s">
        <v>46</v>
      </c>
      <c r="J447">
        <v>4500</v>
      </c>
      <c r="K447">
        <v>7</v>
      </c>
      <c r="L447">
        <v>31500</v>
      </c>
      <c r="M447" t="s">
        <v>24</v>
      </c>
      <c r="N447">
        <v>5</v>
      </c>
      <c r="O447" t="s">
        <v>25</v>
      </c>
      <c r="P447" t="str">
        <f>TEXT(Hospitalitydata[[#This Row],[Booking_Date]],"mmm")</f>
        <v>Dec</v>
      </c>
    </row>
    <row r="448" spans="1:16" x14ac:dyDescent="0.3">
      <c r="A448" t="s">
        <v>859</v>
      </c>
      <c r="B448" t="s">
        <v>722</v>
      </c>
      <c r="C448" t="s">
        <v>124</v>
      </c>
      <c r="D448" t="s">
        <v>216</v>
      </c>
      <c r="E448" t="s">
        <v>19</v>
      </c>
      <c r="F448" t="s">
        <v>20</v>
      </c>
      <c r="G448" t="s">
        <v>21</v>
      </c>
      <c r="H448" t="s">
        <v>45</v>
      </c>
      <c r="I448" t="s">
        <v>33</v>
      </c>
      <c r="J448">
        <v>7000</v>
      </c>
      <c r="K448">
        <v>1</v>
      </c>
      <c r="L448">
        <v>7000</v>
      </c>
      <c r="M448" t="s">
        <v>24</v>
      </c>
      <c r="N448">
        <v>4</v>
      </c>
      <c r="O448" t="s">
        <v>25</v>
      </c>
      <c r="P448" t="str">
        <f>TEXT(Hospitalitydata[[#This Row],[Booking_Date]],"mmm")</f>
        <v>Aug</v>
      </c>
    </row>
    <row r="449" spans="1:16" x14ac:dyDescent="0.3">
      <c r="A449" t="s">
        <v>860</v>
      </c>
      <c r="B449" t="s">
        <v>238</v>
      </c>
      <c r="C449" t="s">
        <v>295</v>
      </c>
      <c r="D449" t="s">
        <v>324</v>
      </c>
      <c r="E449" t="s">
        <v>19</v>
      </c>
      <c r="F449" t="s">
        <v>20</v>
      </c>
      <c r="G449" t="s">
        <v>21</v>
      </c>
      <c r="H449" t="s">
        <v>63</v>
      </c>
      <c r="I449" t="s">
        <v>33</v>
      </c>
      <c r="J449">
        <v>3500</v>
      </c>
      <c r="K449">
        <v>7</v>
      </c>
      <c r="L449">
        <v>24500</v>
      </c>
      <c r="M449" t="s">
        <v>47</v>
      </c>
      <c r="N449">
        <v>3</v>
      </c>
      <c r="O449" t="s">
        <v>48</v>
      </c>
      <c r="P449" t="str">
        <f>TEXT(Hospitalitydata[[#This Row],[Booking_Date]],"mmm")</f>
        <v>May</v>
      </c>
    </row>
    <row r="450" spans="1:16" x14ac:dyDescent="0.3">
      <c r="A450" t="s">
        <v>861</v>
      </c>
      <c r="B450" t="s">
        <v>329</v>
      </c>
      <c r="C450" t="s">
        <v>350</v>
      </c>
      <c r="D450" t="s">
        <v>330</v>
      </c>
      <c r="E450" t="s">
        <v>30</v>
      </c>
      <c r="F450" t="s">
        <v>62</v>
      </c>
      <c r="G450" t="s">
        <v>21</v>
      </c>
      <c r="H450" t="s">
        <v>22</v>
      </c>
      <c r="I450" t="s">
        <v>38</v>
      </c>
      <c r="J450">
        <v>5500</v>
      </c>
      <c r="K450">
        <v>3</v>
      </c>
      <c r="L450">
        <v>16500</v>
      </c>
      <c r="M450" t="s">
        <v>24</v>
      </c>
      <c r="N450">
        <v>5</v>
      </c>
      <c r="O450" t="s">
        <v>25</v>
      </c>
      <c r="P450" t="str">
        <f>TEXT(Hospitalitydata[[#This Row],[Booking_Date]],"mmm")</f>
        <v>Oct</v>
      </c>
    </row>
    <row r="451" spans="1:16" x14ac:dyDescent="0.3">
      <c r="A451" t="s">
        <v>862</v>
      </c>
      <c r="B451" t="s">
        <v>681</v>
      </c>
      <c r="C451" t="s">
        <v>109</v>
      </c>
      <c r="D451" t="s">
        <v>470</v>
      </c>
      <c r="E451" t="s">
        <v>43</v>
      </c>
      <c r="F451" t="s">
        <v>53</v>
      </c>
      <c r="G451" t="s">
        <v>44</v>
      </c>
      <c r="H451" t="s">
        <v>63</v>
      </c>
      <c r="I451" t="s">
        <v>46</v>
      </c>
      <c r="J451">
        <v>9000</v>
      </c>
      <c r="K451">
        <v>7</v>
      </c>
      <c r="L451">
        <v>63000</v>
      </c>
      <c r="M451" t="s">
        <v>24</v>
      </c>
      <c r="N451">
        <v>5</v>
      </c>
      <c r="O451" t="s">
        <v>25</v>
      </c>
      <c r="P451" t="str">
        <f>TEXT(Hospitalitydata[[#This Row],[Booking_Date]],"mmm")</f>
        <v>May</v>
      </c>
    </row>
    <row r="452" spans="1:16" x14ac:dyDescent="0.3">
      <c r="A452" t="s">
        <v>863</v>
      </c>
      <c r="B452" t="s">
        <v>330</v>
      </c>
      <c r="C452" t="s">
        <v>483</v>
      </c>
      <c r="D452" t="s">
        <v>380</v>
      </c>
      <c r="E452" t="s">
        <v>127</v>
      </c>
      <c r="F452" t="s">
        <v>62</v>
      </c>
      <c r="G452" t="s">
        <v>21</v>
      </c>
      <c r="H452" t="s">
        <v>22</v>
      </c>
      <c r="I452" t="s">
        <v>46</v>
      </c>
      <c r="J452">
        <v>9000</v>
      </c>
      <c r="K452">
        <v>1</v>
      </c>
      <c r="L452">
        <v>9000</v>
      </c>
      <c r="M452" t="s">
        <v>24</v>
      </c>
      <c r="N452">
        <v>5</v>
      </c>
      <c r="O452" t="s">
        <v>25</v>
      </c>
      <c r="P452" t="str">
        <f>TEXT(Hospitalitydata[[#This Row],[Booking_Date]],"mmm")</f>
        <v>Oct</v>
      </c>
    </row>
    <row r="453" spans="1:16" x14ac:dyDescent="0.3">
      <c r="A453" t="s">
        <v>864</v>
      </c>
      <c r="B453" t="s">
        <v>116</v>
      </c>
      <c r="C453" t="s">
        <v>317</v>
      </c>
      <c r="D453" t="s">
        <v>268</v>
      </c>
      <c r="E453" t="s">
        <v>19</v>
      </c>
      <c r="F453" t="s">
        <v>87</v>
      </c>
      <c r="G453" t="s">
        <v>44</v>
      </c>
      <c r="H453" t="s">
        <v>45</v>
      </c>
      <c r="I453" t="s">
        <v>23</v>
      </c>
      <c r="J453">
        <v>7000</v>
      </c>
      <c r="K453">
        <v>6</v>
      </c>
      <c r="L453">
        <v>42000</v>
      </c>
      <c r="M453" t="s">
        <v>24</v>
      </c>
      <c r="N453">
        <v>5</v>
      </c>
      <c r="O453" t="s">
        <v>25</v>
      </c>
      <c r="P453" t="str">
        <f>TEXT(Hospitalitydata[[#This Row],[Booking_Date]],"mmm")</f>
        <v>Oct</v>
      </c>
    </row>
    <row r="454" spans="1:16" x14ac:dyDescent="0.3">
      <c r="A454" t="s">
        <v>865</v>
      </c>
      <c r="B454" t="s">
        <v>157</v>
      </c>
      <c r="C454" t="s">
        <v>797</v>
      </c>
      <c r="D454" t="s">
        <v>866</v>
      </c>
      <c r="E454" t="s">
        <v>127</v>
      </c>
      <c r="F454" t="s">
        <v>87</v>
      </c>
      <c r="G454" t="s">
        <v>21</v>
      </c>
      <c r="H454" t="s">
        <v>63</v>
      </c>
      <c r="I454" t="s">
        <v>33</v>
      </c>
      <c r="J454">
        <v>7000</v>
      </c>
      <c r="K454">
        <v>6</v>
      </c>
      <c r="L454">
        <v>42000</v>
      </c>
      <c r="M454" t="s">
        <v>24</v>
      </c>
      <c r="N454">
        <v>3</v>
      </c>
      <c r="O454" t="s">
        <v>25</v>
      </c>
      <c r="P454" t="str">
        <f>TEXT(Hospitalitydata[[#This Row],[Booking_Date]],"mmm")</f>
        <v>Apr</v>
      </c>
    </row>
    <row r="455" spans="1:16" x14ac:dyDescent="0.3">
      <c r="A455" t="s">
        <v>867</v>
      </c>
      <c r="B455" t="s">
        <v>78</v>
      </c>
      <c r="C455" t="s">
        <v>797</v>
      </c>
      <c r="D455" t="s">
        <v>108</v>
      </c>
      <c r="E455" t="s">
        <v>19</v>
      </c>
      <c r="F455" t="s">
        <v>20</v>
      </c>
      <c r="G455" t="s">
        <v>32</v>
      </c>
      <c r="H455" t="s">
        <v>63</v>
      </c>
      <c r="I455" t="s">
        <v>23</v>
      </c>
      <c r="J455">
        <v>4500</v>
      </c>
      <c r="K455">
        <v>7</v>
      </c>
      <c r="L455">
        <v>31500</v>
      </c>
      <c r="M455" t="s">
        <v>24</v>
      </c>
      <c r="N455">
        <v>4</v>
      </c>
      <c r="O455" t="s">
        <v>25</v>
      </c>
      <c r="P455" t="str">
        <f>TEXT(Hospitalitydata[[#This Row],[Booking_Date]],"mmm")</f>
        <v>Mar</v>
      </c>
    </row>
    <row r="456" spans="1:16" x14ac:dyDescent="0.3">
      <c r="A456" t="s">
        <v>868</v>
      </c>
      <c r="B456" t="s">
        <v>309</v>
      </c>
      <c r="C456" t="s">
        <v>225</v>
      </c>
      <c r="D456" t="s">
        <v>192</v>
      </c>
      <c r="E456" t="s">
        <v>30</v>
      </c>
      <c r="F456" t="s">
        <v>87</v>
      </c>
      <c r="G456" t="s">
        <v>32</v>
      </c>
      <c r="H456" t="s">
        <v>22</v>
      </c>
      <c r="I456" t="s">
        <v>46</v>
      </c>
      <c r="J456">
        <v>9000</v>
      </c>
      <c r="K456">
        <v>7</v>
      </c>
      <c r="L456">
        <v>63000</v>
      </c>
      <c r="M456" t="s">
        <v>24</v>
      </c>
      <c r="N456">
        <v>5</v>
      </c>
      <c r="O456" t="s">
        <v>25</v>
      </c>
      <c r="P456" t="str">
        <f>TEXT(Hospitalitydata[[#This Row],[Booking_Date]],"mmm")</f>
        <v>Nov</v>
      </c>
    </row>
    <row r="457" spans="1:16" x14ac:dyDescent="0.3">
      <c r="A457" t="s">
        <v>869</v>
      </c>
      <c r="B457" t="s">
        <v>595</v>
      </c>
      <c r="C457" t="s">
        <v>329</v>
      </c>
      <c r="D457" t="s">
        <v>350</v>
      </c>
      <c r="E457" t="s">
        <v>19</v>
      </c>
      <c r="F457" t="s">
        <v>53</v>
      </c>
      <c r="G457" t="s">
        <v>21</v>
      </c>
      <c r="H457" t="s">
        <v>22</v>
      </c>
      <c r="I457" t="s">
        <v>38</v>
      </c>
      <c r="J457">
        <v>7000</v>
      </c>
      <c r="K457">
        <v>2</v>
      </c>
      <c r="L457">
        <v>14000</v>
      </c>
      <c r="M457" t="s">
        <v>24</v>
      </c>
      <c r="N457">
        <v>5</v>
      </c>
      <c r="O457" t="s">
        <v>25</v>
      </c>
      <c r="P457" t="str">
        <f>TEXT(Hospitalitydata[[#This Row],[Booking_Date]],"mmm")</f>
        <v>Sep</v>
      </c>
    </row>
    <row r="458" spans="1:16" x14ac:dyDescent="0.3">
      <c r="A458" t="s">
        <v>870</v>
      </c>
      <c r="B458" t="s">
        <v>212</v>
      </c>
      <c r="C458" t="s">
        <v>452</v>
      </c>
      <c r="D458" t="s">
        <v>871</v>
      </c>
      <c r="E458" t="s">
        <v>37</v>
      </c>
      <c r="F458" t="s">
        <v>87</v>
      </c>
      <c r="G458" t="s">
        <v>32</v>
      </c>
      <c r="H458" t="s">
        <v>22</v>
      </c>
      <c r="I458" t="s">
        <v>38</v>
      </c>
      <c r="J458">
        <v>3500</v>
      </c>
      <c r="K458">
        <v>2</v>
      </c>
      <c r="L458">
        <v>7000</v>
      </c>
      <c r="M458" t="s">
        <v>24</v>
      </c>
      <c r="N458">
        <v>4</v>
      </c>
      <c r="O458" t="s">
        <v>25</v>
      </c>
      <c r="P458" t="str">
        <f>TEXT(Hospitalitydata[[#This Row],[Booking_Date]],"mmm")</f>
        <v>Feb</v>
      </c>
    </row>
    <row r="459" spans="1:16" x14ac:dyDescent="0.3">
      <c r="A459" t="s">
        <v>872</v>
      </c>
      <c r="B459" t="s">
        <v>147</v>
      </c>
      <c r="C459" t="s">
        <v>563</v>
      </c>
      <c r="D459" t="s">
        <v>55</v>
      </c>
      <c r="E459" t="s">
        <v>37</v>
      </c>
      <c r="F459" t="s">
        <v>53</v>
      </c>
      <c r="G459" t="s">
        <v>32</v>
      </c>
      <c r="H459" t="s">
        <v>22</v>
      </c>
      <c r="I459" t="s">
        <v>33</v>
      </c>
      <c r="J459">
        <v>9000</v>
      </c>
      <c r="K459">
        <v>7</v>
      </c>
      <c r="L459">
        <v>63000</v>
      </c>
      <c r="M459" t="s">
        <v>24</v>
      </c>
      <c r="N459">
        <v>5</v>
      </c>
      <c r="O459" t="s">
        <v>25</v>
      </c>
      <c r="P459" t="str">
        <f>TEXT(Hospitalitydata[[#This Row],[Booking_Date]],"mmm")</f>
        <v>Oct</v>
      </c>
    </row>
    <row r="460" spans="1:16" x14ac:dyDescent="0.3">
      <c r="A460" t="s">
        <v>873</v>
      </c>
      <c r="B460" t="s">
        <v>834</v>
      </c>
      <c r="C460" t="s">
        <v>874</v>
      </c>
      <c r="D460" t="s">
        <v>222</v>
      </c>
      <c r="E460" t="s">
        <v>127</v>
      </c>
      <c r="F460" t="s">
        <v>87</v>
      </c>
      <c r="G460" t="s">
        <v>21</v>
      </c>
      <c r="H460" t="s">
        <v>22</v>
      </c>
      <c r="I460" t="s">
        <v>46</v>
      </c>
      <c r="J460">
        <v>5500</v>
      </c>
      <c r="K460">
        <v>3</v>
      </c>
      <c r="L460">
        <v>16500</v>
      </c>
      <c r="M460" t="s">
        <v>47</v>
      </c>
      <c r="N460">
        <v>1</v>
      </c>
      <c r="O460" t="s">
        <v>48</v>
      </c>
      <c r="P460" t="str">
        <f>TEXT(Hospitalitydata[[#This Row],[Booking_Date]],"mmm")</f>
        <v>Jan</v>
      </c>
    </row>
    <row r="461" spans="1:16" x14ac:dyDescent="0.3">
      <c r="A461" t="s">
        <v>875</v>
      </c>
      <c r="B461" t="s">
        <v>637</v>
      </c>
      <c r="C461" t="s">
        <v>874</v>
      </c>
      <c r="D461" t="s">
        <v>212</v>
      </c>
      <c r="E461" t="s">
        <v>127</v>
      </c>
      <c r="F461" t="s">
        <v>53</v>
      </c>
      <c r="G461" t="s">
        <v>32</v>
      </c>
      <c r="H461" t="s">
        <v>63</v>
      </c>
      <c r="I461" t="s">
        <v>33</v>
      </c>
      <c r="J461">
        <v>4500</v>
      </c>
      <c r="K461">
        <v>5</v>
      </c>
      <c r="L461">
        <v>22500</v>
      </c>
      <c r="M461" t="s">
        <v>24</v>
      </c>
      <c r="N461">
        <v>5</v>
      </c>
      <c r="O461" t="s">
        <v>25</v>
      </c>
      <c r="P461" t="str">
        <f>TEXT(Hospitalitydata[[#This Row],[Booking_Date]],"mmm")</f>
        <v>Jan</v>
      </c>
    </row>
    <row r="462" spans="1:16" x14ac:dyDescent="0.3">
      <c r="A462" t="s">
        <v>876</v>
      </c>
      <c r="B462" t="s">
        <v>794</v>
      </c>
      <c r="C462" t="s">
        <v>179</v>
      </c>
      <c r="D462" t="s">
        <v>167</v>
      </c>
      <c r="E462" t="s">
        <v>30</v>
      </c>
      <c r="F462" t="s">
        <v>20</v>
      </c>
      <c r="G462" t="s">
        <v>21</v>
      </c>
      <c r="H462" t="s">
        <v>45</v>
      </c>
      <c r="I462" t="s">
        <v>33</v>
      </c>
      <c r="J462">
        <v>2500</v>
      </c>
      <c r="K462">
        <v>1</v>
      </c>
      <c r="L462">
        <v>2500</v>
      </c>
      <c r="M462" t="s">
        <v>24</v>
      </c>
      <c r="N462">
        <v>5</v>
      </c>
      <c r="O462" t="s">
        <v>25</v>
      </c>
      <c r="P462" t="str">
        <f>TEXT(Hospitalitydata[[#This Row],[Booking_Date]],"mmm")</f>
        <v>Jun</v>
      </c>
    </row>
    <row r="463" spans="1:16" x14ac:dyDescent="0.3">
      <c r="A463" t="s">
        <v>877</v>
      </c>
      <c r="B463" t="s">
        <v>65</v>
      </c>
      <c r="C463" t="s">
        <v>645</v>
      </c>
      <c r="D463" t="s">
        <v>314</v>
      </c>
      <c r="E463" t="s">
        <v>43</v>
      </c>
      <c r="F463" t="s">
        <v>62</v>
      </c>
      <c r="G463" t="s">
        <v>21</v>
      </c>
      <c r="H463" t="s">
        <v>22</v>
      </c>
      <c r="I463" t="s">
        <v>38</v>
      </c>
      <c r="J463">
        <v>3500</v>
      </c>
      <c r="K463">
        <v>7</v>
      </c>
      <c r="L463">
        <v>24500</v>
      </c>
      <c r="M463" t="s">
        <v>47</v>
      </c>
      <c r="N463">
        <v>4</v>
      </c>
      <c r="O463" t="s">
        <v>48</v>
      </c>
      <c r="P463" t="str">
        <f>TEXT(Hospitalitydata[[#This Row],[Booking_Date]],"mmm")</f>
        <v>Dec</v>
      </c>
    </row>
    <row r="464" spans="1:16" x14ac:dyDescent="0.3">
      <c r="A464" t="s">
        <v>878</v>
      </c>
      <c r="B464" t="s">
        <v>17</v>
      </c>
      <c r="C464" t="s">
        <v>67</v>
      </c>
      <c r="D464" t="s">
        <v>642</v>
      </c>
      <c r="E464" t="s">
        <v>127</v>
      </c>
      <c r="F464" t="s">
        <v>87</v>
      </c>
      <c r="G464" t="s">
        <v>32</v>
      </c>
      <c r="H464" t="s">
        <v>45</v>
      </c>
      <c r="I464" t="s">
        <v>23</v>
      </c>
      <c r="J464">
        <v>9000</v>
      </c>
      <c r="K464">
        <v>1</v>
      </c>
      <c r="L464">
        <v>9000</v>
      </c>
      <c r="M464" t="s">
        <v>24</v>
      </c>
      <c r="N464">
        <v>3</v>
      </c>
      <c r="O464" t="s">
        <v>25</v>
      </c>
      <c r="P464" t="str">
        <f>TEXT(Hospitalitydata[[#This Row],[Booking_Date]],"mmm")</f>
        <v>Nov</v>
      </c>
    </row>
    <row r="465" spans="1:16" x14ac:dyDescent="0.3">
      <c r="A465" t="s">
        <v>879</v>
      </c>
      <c r="B465" t="s">
        <v>129</v>
      </c>
      <c r="C465" t="s">
        <v>388</v>
      </c>
      <c r="D465" t="s">
        <v>59</v>
      </c>
      <c r="E465" t="s">
        <v>19</v>
      </c>
      <c r="F465" t="s">
        <v>87</v>
      </c>
      <c r="G465" t="s">
        <v>44</v>
      </c>
      <c r="H465" t="s">
        <v>63</v>
      </c>
      <c r="I465" t="s">
        <v>38</v>
      </c>
      <c r="J465">
        <v>4500</v>
      </c>
      <c r="K465">
        <v>7</v>
      </c>
      <c r="L465">
        <v>31500</v>
      </c>
      <c r="M465" t="s">
        <v>24</v>
      </c>
      <c r="N465">
        <v>5</v>
      </c>
      <c r="O465" t="s">
        <v>25</v>
      </c>
      <c r="P465" t="str">
        <f>TEXT(Hospitalitydata[[#This Row],[Booking_Date]],"mmm")</f>
        <v>Jan</v>
      </c>
    </row>
    <row r="466" spans="1:16" x14ac:dyDescent="0.3">
      <c r="A466" t="s">
        <v>880</v>
      </c>
      <c r="B466" t="s">
        <v>300</v>
      </c>
      <c r="C466" t="s">
        <v>502</v>
      </c>
      <c r="D466" t="s">
        <v>164</v>
      </c>
      <c r="E466" t="s">
        <v>43</v>
      </c>
      <c r="F466" t="s">
        <v>31</v>
      </c>
      <c r="G466" t="s">
        <v>32</v>
      </c>
      <c r="H466" t="s">
        <v>22</v>
      </c>
      <c r="I466" t="s">
        <v>23</v>
      </c>
      <c r="J466">
        <v>4500</v>
      </c>
      <c r="K466">
        <v>4</v>
      </c>
      <c r="L466">
        <v>18000</v>
      </c>
      <c r="M466" t="s">
        <v>24</v>
      </c>
      <c r="N466">
        <v>5</v>
      </c>
      <c r="O466" t="s">
        <v>25</v>
      </c>
      <c r="P466" t="str">
        <f>TEXT(Hospitalitydata[[#This Row],[Booking_Date]],"mmm")</f>
        <v>Nov</v>
      </c>
    </row>
    <row r="467" spans="1:16" x14ac:dyDescent="0.3">
      <c r="A467" t="s">
        <v>881</v>
      </c>
      <c r="B467" t="s">
        <v>383</v>
      </c>
      <c r="C467" t="s">
        <v>116</v>
      </c>
      <c r="D467" t="s">
        <v>600</v>
      </c>
      <c r="E467" t="s">
        <v>43</v>
      </c>
      <c r="F467" t="s">
        <v>87</v>
      </c>
      <c r="G467" t="s">
        <v>21</v>
      </c>
      <c r="H467" t="s">
        <v>63</v>
      </c>
      <c r="I467" t="s">
        <v>23</v>
      </c>
      <c r="J467">
        <v>2500</v>
      </c>
      <c r="K467">
        <v>6</v>
      </c>
      <c r="L467">
        <v>15000</v>
      </c>
      <c r="M467" t="s">
        <v>24</v>
      </c>
      <c r="N467">
        <v>5</v>
      </c>
      <c r="O467" t="s">
        <v>25</v>
      </c>
      <c r="P467" t="str">
        <f>TEXT(Hospitalitydata[[#This Row],[Booking_Date]],"mmm")</f>
        <v>Oct</v>
      </c>
    </row>
    <row r="468" spans="1:16" x14ac:dyDescent="0.3">
      <c r="A468" t="s">
        <v>882</v>
      </c>
      <c r="B468" t="s">
        <v>171</v>
      </c>
      <c r="C468" t="s">
        <v>586</v>
      </c>
      <c r="D468" t="s">
        <v>455</v>
      </c>
      <c r="E468" t="s">
        <v>43</v>
      </c>
      <c r="F468" t="s">
        <v>53</v>
      </c>
      <c r="G468" t="s">
        <v>32</v>
      </c>
      <c r="H468" t="s">
        <v>22</v>
      </c>
      <c r="I468" t="s">
        <v>33</v>
      </c>
      <c r="J468">
        <v>5500</v>
      </c>
      <c r="K468">
        <v>4</v>
      </c>
      <c r="L468">
        <v>22000</v>
      </c>
      <c r="M468" t="s">
        <v>24</v>
      </c>
      <c r="N468">
        <v>5</v>
      </c>
      <c r="O468" t="s">
        <v>25</v>
      </c>
      <c r="P468" t="str">
        <f>TEXT(Hospitalitydata[[#This Row],[Booking_Date]],"mmm")</f>
        <v>May</v>
      </c>
    </row>
    <row r="469" spans="1:16" x14ac:dyDescent="0.3">
      <c r="A469" t="s">
        <v>883</v>
      </c>
      <c r="B469" t="s">
        <v>555</v>
      </c>
      <c r="C469" t="s">
        <v>404</v>
      </c>
      <c r="D469" t="s">
        <v>99</v>
      </c>
      <c r="E469" t="s">
        <v>19</v>
      </c>
      <c r="F469" t="s">
        <v>87</v>
      </c>
      <c r="G469" t="s">
        <v>21</v>
      </c>
      <c r="H469" t="s">
        <v>22</v>
      </c>
      <c r="I469" t="s">
        <v>46</v>
      </c>
      <c r="J469">
        <v>7000</v>
      </c>
      <c r="K469">
        <v>4</v>
      </c>
      <c r="L469">
        <v>28000</v>
      </c>
      <c r="M469" t="s">
        <v>24</v>
      </c>
      <c r="N469">
        <v>5</v>
      </c>
      <c r="O469" t="s">
        <v>25</v>
      </c>
      <c r="P469" t="str">
        <f>TEXT(Hospitalitydata[[#This Row],[Booking_Date]],"mmm")</f>
        <v>Mar</v>
      </c>
    </row>
    <row r="470" spans="1:16" x14ac:dyDescent="0.3">
      <c r="A470" t="s">
        <v>884</v>
      </c>
      <c r="B470" t="s">
        <v>885</v>
      </c>
      <c r="C470" t="s">
        <v>370</v>
      </c>
      <c r="D470" t="s">
        <v>311</v>
      </c>
      <c r="E470" t="s">
        <v>43</v>
      </c>
      <c r="F470" t="s">
        <v>31</v>
      </c>
      <c r="G470" t="s">
        <v>21</v>
      </c>
      <c r="H470" t="s">
        <v>63</v>
      </c>
      <c r="I470" t="s">
        <v>23</v>
      </c>
      <c r="J470">
        <v>7000</v>
      </c>
      <c r="K470">
        <v>7</v>
      </c>
      <c r="L470">
        <v>49000</v>
      </c>
      <c r="M470" t="s">
        <v>24</v>
      </c>
      <c r="N470">
        <v>3</v>
      </c>
      <c r="O470" t="s">
        <v>25</v>
      </c>
      <c r="P470" t="str">
        <f>TEXT(Hospitalitydata[[#This Row],[Booking_Date]],"mmm")</f>
        <v>Jan</v>
      </c>
    </row>
    <row r="471" spans="1:16" x14ac:dyDescent="0.3">
      <c r="A471" t="s">
        <v>886</v>
      </c>
      <c r="B471" t="s">
        <v>304</v>
      </c>
      <c r="C471" t="s">
        <v>569</v>
      </c>
      <c r="D471" t="s">
        <v>586</v>
      </c>
      <c r="E471" t="s">
        <v>19</v>
      </c>
      <c r="F471" t="s">
        <v>53</v>
      </c>
      <c r="G471" t="s">
        <v>21</v>
      </c>
      <c r="H471" t="s">
        <v>22</v>
      </c>
      <c r="I471" t="s">
        <v>33</v>
      </c>
      <c r="J471">
        <v>9000</v>
      </c>
      <c r="K471">
        <v>6</v>
      </c>
      <c r="L471">
        <v>54000</v>
      </c>
      <c r="M471" t="s">
        <v>47</v>
      </c>
      <c r="N471">
        <v>3</v>
      </c>
      <c r="O471" t="s">
        <v>48</v>
      </c>
      <c r="P471" t="str">
        <f>TEXT(Hospitalitydata[[#This Row],[Booking_Date]],"mmm")</f>
        <v>Jun</v>
      </c>
    </row>
    <row r="472" spans="1:16" x14ac:dyDescent="0.3">
      <c r="A472" t="s">
        <v>887</v>
      </c>
      <c r="B472" t="s">
        <v>78</v>
      </c>
      <c r="C472" t="s">
        <v>535</v>
      </c>
      <c r="D472" t="s">
        <v>98</v>
      </c>
      <c r="E472" t="s">
        <v>43</v>
      </c>
      <c r="F472" t="s">
        <v>62</v>
      </c>
      <c r="G472" t="s">
        <v>21</v>
      </c>
      <c r="H472" t="s">
        <v>22</v>
      </c>
      <c r="I472" t="s">
        <v>23</v>
      </c>
      <c r="J472">
        <v>7000</v>
      </c>
      <c r="K472">
        <v>2</v>
      </c>
      <c r="L472">
        <v>14000</v>
      </c>
      <c r="M472" t="s">
        <v>24</v>
      </c>
      <c r="N472">
        <v>3</v>
      </c>
      <c r="O472" t="s">
        <v>25</v>
      </c>
      <c r="P472" t="str">
        <f>TEXT(Hospitalitydata[[#This Row],[Booking_Date]],"mmm")</f>
        <v>Mar</v>
      </c>
    </row>
    <row r="473" spans="1:16" x14ac:dyDescent="0.3">
      <c r="A473" t="s">
        <v>888</v>
      </c>
      <c r="B473" t="s">
        <v>482</v>
      </c>
      <c r="C473" t="s">
        <v>783</v>
      </c>
      <c r="D473" t="s">
        <v>27</v>
      </c>
      <c r="E473" t="s">
        <v>43</v>
      </c>
      <c r="F473" t="s">
        <v>87</v>
      </c>
      <c r="G473" t="s">
        <v>32</v>
      </c>
      <c r="H473" t="s">
        <v>45</v>
      </c>
      <c r="I473" t="s">
        <v>38</v>
      </c>
      <c r="J473">
        <v>7000</v>
      </c>
      <c r="K473">
        <v>6</v>
      </c>
      <c r="L473">
        <v>42000</v>
      </c>
      <c r="M473" t="s">
        <v>24</v>
      </c>
      <c r="N473">
        <v>5</v>
      </c>
      <c r="O473" t="s">
        <v>25</v>
      </c>
      <c r="P473" t="str">
        <f>TEXT(Hospitalitydata[[#This Row],[Booking_Date]],"mmm")</f>
        <v>Oct</v>
      </c>
    </row>
    <row r="474" spans="1:16" x14ac:dyDescent="0.3">
      <c r="A474" t="s">
        <v>889</v>
      </c>
      <c r="B474" t="s">
        <v>586</v>
      </c>
      <c r="C474" t="s">
        <v>179</v>
      </c>
      <c r="D474" t="s">
        <v>41</v>
      </c>
      <c r="E474" t="s">
        <v>37</v>
      </c>
      <c r="F474" t="s">
        <v>31</v>
      </c>
      <c r="G474" t="s">
        <v>32</v>
      </c>
      <c r="H474" t="s">
        <v>45</v>
      </c>
      <c r="I474" t="s">
        <v>46</v>
      </c>
      <c r="J474">
        <v>9000</v>
      </c>
      <c r="K474">
        <v>2</v>
      </c>
      <c r="L474">
        <v>18000</v>
      </c>
      <c r="M474" t="s">
        <v>24</v>
      </c>
      <c r="N474">
        <v>3</v>
      </c>
      <c r="O474" t="s">
        <v>25</v>
      </c>
      <c r="P474" t="str">
        <f>TEXT(Hospitalitydata[[#This Row],[Booking_Date]],"mmm")</f>
        <v>Jun</v>
      </c>
    </row>
    <row r="475" spans="1:16" x14ac:dyDescent="0.3">
      <c r="A475" t="s">
        <v>890</v>
      </c>
      <c r="B475" t="s">
        <v>409</v>
      </c>
      <c r="C475" t="s">
        <v>120</v>
      </c>
      <c r="D475" t="s">
        <v>219</v>
      </c>
      <c r="E475" t="s">
        <v>30</v>
      </c>
      <c r="F475" t="s">
        <v>62</v>
      </c>
      <c r="G475" t="s">
        <v>21</v>
      </c>
      <c r="H475" t="s">
        <v>22</v>
      </c>
      <c r="I475" t="s">
        <v>46</v>
      </c>
      <c r="J475">
        <v>7000</v>
      </c>
      <c r="K475">
        <v>3</v>
      </c>
      <c r="L475">
        <v>21000</v>
      </c>
      <c r="M475" t="s">
        <v>24</v>
      </c>
      <c r="N475">
        <v>5</v>
      </c>
      <c r="O475" t="s">
        <v>25</v>
      </c>
      <c r="P475" t="str">
        <f>TEXT(Hospitalitydata[[#This Row],[Booking_Date]],"mmm")</f>
        <v>Sep</v>
      </c>
    </row>
    <row r="476" spans="1:16" x14ac:dyDescent="0.3">
      <c r="A476" t="s">
        <v>891</v>
      </c>
      <c r="B476" t="s">
        <v>295</v>
      </c>
      <c r="C476" t="s">
        <v>166</v>
      </c>
      <c r="D476" t="s">
        <v>241</v>
      </c>
      <c r="E476" t="s">
        <v>127</v>
      </c>
      <c r="F476" t="s">
        <v>87</v>
      </c>
      <c r="G476" t="s">
        <v>44</v>
      </c>
      <c r="H476" t="s">
        <v>45</v>
      </c>
      <c r="I476" t="s">
        <v>46</v>
      </c>
      <c r="J476">
        <v>2500</v>
      </c>
      <c r="K476">
        <v>2</v>
      </c>
      <c r="L476">
        <v>5000</v>
      </c>
      <c r="M476" t="s">
        <v>24</v>
      </c>
      <c r="N476">
        <v>3</v>
      </c>
      <c r="O476" t="s">
        <v>25</v>
      </c>
      <c r="P476" t="str">
        <f>TEXT(Hospitalitydata[[#This Row],[Booking_Date]],"mmm")</f>
        <v>Jun</v>
      </c>
    </row>
    <row r="477" spans="1:16" x14ac:dyDescent="0.3">
      <c r="A477" t="s">
        <v>892</v>
      </c>
      <c r="B477" t="s">
        <v>574</v>
      </c>
      <c r="C477" t="s">
        <v>464</v>
      </c>
      <c r="D477" t="s">
        <v>257</v>
      </c>
      <c r="E477" t="s">
        <v>30</v>
      </c>
      <c r="F477" t="s">
        <v>20</v>
      </c>
      <c r="G477" t="s">
        <v>32</v>
      </c>
      <c r="H477" t="s">
        <v>22</v>
      </c>
      <c r="I477" t="s">
        <v>23</v>
      </c>
      <c r="J477">
        <v>4500</v>
      </c>
      <c r="K477">
        <v>4</v>
      </c>
      <c r="L477">
        <v>18000</v>
      </c>
      <c r="M477" t="s">
        <v>24</v>
      </c>
      <c r="N477">
        <v>4</v>
      </c>
      <c r="O477" t="s">
        <v>25</v>
      </c>
      <c r="P477" t="str">
        <f>TEXT(Hospitalitydata[[#This Row],[Booking_Date]],"mmm")</f>
        <v>Sep</v>
      </c>
    </row>
    <row r="478" spans="1:16" x14ac:dyDescent="0.3">
      <c r="A478" t="s">
        <v>893</v>
      </c>
      <c r="B478" t="s">
        <v>110</v>
      </c>
      <c r="C478" t="s">
        <v>719</v>
      </c>
      <c r="D478" t="s">
        <v>259</v>
      </c>
      <c r="E478" t="s">
        <v>37</v>
      </c>
      <c r="F478" t="s">
        <v>20</v>
      </c>
      <c r="G478" t="s">
        <v>21</v>
      </c>
      <c r="H478" t="s">
        <v>45</v>
      </c>
      <c r="I478" t="s">
        <v>23</v>
      </c>
      <c r="J478">
        <v>3500</v>
      </c>
      <c r="K478">
        <v>7</v>
      </c>
      <c r="L478">
        <v>24500</v>
      </c>
      <c r="M478" t="s">
        <v>47</v>
      </c>
      <c r="N478">
        <v>2</v>
      </c>
      <c r="O478" t="s">
        <v>48</v>
      </c>
      <c r="P478" t="str">
        <f>TEXT(Hospitalitydata[[#This Row],[Booking_Date]],"mmm")</f>
        <v>May</v>
      </c>
    </row>
    <row r="479" spans="1:16" x14ac:dyDescent="0.3">
      <c r="A479" t="s">
        <v>894</v>
      </c>
      <c r="B479" t="s">
        <v>272</v>
      </c>
      <c r="C479" t="s">
        <v>774</v>
      </c>
      <c r="D479" t="s">
        <v>482</v>
      </c>
      <c r="E479" t="s">
        <v>19</v>
      </c>
      <c r="F479" t="s">
        <v>20</v>
      </c>
      <c r="G479" t="s">
        <v>21</v>
      </c>
      <c r="H479" t="s">
        <v>63</v>
      </c>
      <c r="I479" t="s">
        <v>38</v>
      </c>
      <c r="J479">
        <v>7000</v>
      </c>
      <c r="K479">
        <v>1</v>
      </c>
      <c r="L479">
        <v>7000</v>
      </c>
      <c r="M479" t="s">
        <v>24</v>
      </c>
      <c r="N479">
        <v>5</v>
      </c>
      <c r="O479" t="s">
        <v>25</v>
      </c>
      <c r="P479" t="str">
        <f>TEXT(Hospitalitydata[[#This Row],[Booking_Date]],"mmm")</f>
        <v>Sep</v>
      </c>
    </row>
    <row r="480" spans="1:16" x14ac:dyDescent="0.3">
      <c r="A480" t="s">
        <v>895</v>
      </c>
      <c r="B480" t="s">
        <v>208</v>
      </c>
      <c r="C480" t="s">
        <v>642</v>
      </c>
      <c r="D480" t="s">
        <v>270</v>
      </c>
      <c r="E480" t="s">
        <v>37</v>
      </c>
      <c r="F480" t="s">
        <v>62</v>
      </c>
      <c r="G480" t="s">
        <v>44</v>
      </c>
      <c r="H480" t="s">
        <v>22</v>
      </c>
      <c r="I480" t="s">
        <v>23</v>
      </c>
      <c r="J480">
        <v>4500</v>
      </c>
      <c r="K480">
        <v>2</v>
      </c>
      <c r="L480">
        <v>9000</v>
      </c>
      <c r="M480" t="s">
        <v>24</v>
      </c>
      <c r="N480">
        <v>5</v>
      </c>
      <c r="O480" t="s">
        <v>25</v>
      </c>
      <c r="P480" t="str">
        <f>TEXT(Hospitalitydata[[#This Row],[Booking_Date]],"mmm")</f>
        <v>Dec</v>
      </c>
    </row>
    <row r="481" spans="1:16" x14ac:dyDescent="0.3">
      <c r="A481" t="s">
        <v>896</v>
      </c>
      <c r="B481" t="s">
        <v>338</v>
      </c>
      <c r="C481" t="s">
        <v>75</v>
      </c>
      <c r="D481" t="s">
        <v>175</v>
      </c>
      <c r="E481" t="s">
        <v>19</v>
      </c>
      <c r="F481" t="s">
        <v>31</v>
      </c>
      <c r="G481" t="s">
        <v>32</v>
      </c>
      <c r="H481" t="s">
        <v>63</v>
      </c>
      <c r="I481" t="s">
        <v>33</v>
      </c>
      <c r="J481">
        <v>2500</v>
      </c>
      <c r="K481">
        <v>5</v>
      </c>
      <c r="L481">
        <v>12500</v>
      </c>
      <c r="M481" t="s">
        <v>24</v>
      </c>
      <c r="N481">
        <v>5</v>
      </c>
      <c r="O481" t="s">
        <v>25</v>
      </c>
      <c r="P481" t="str">
        <f>TEXT(Hospitalitydata[[#This Row],[Booking_Date]],"mmm")</f>
        <v>Jul</v>
      </c>
    </row>
    <row r="482" spans="1:16" x14ac:dyDescent="0.3">
      <c r="A482" t="s">
        <v>897</v>
      </c>
      <c r="B482" t="s">
        <v>183</v>
      </c>
      <c r="C482" t="s">
        <v>289</v>
      </c>
      <c r="D482" t="s">
        <v>184</v>
      </c>
      <c r="E482" t="s">
        <v>127</v>
      </c>
      <c r="F482" t="s">
        <v>87</v>
      </c>
      <c r="G482" t="s">
        <v>32</v>
      </c>
      <c r="H482" t="s">
        <v>45</v>
      </c>
      <c r="I482" t="s">
        <v>38</v>
      </c>
      <c r="J482">
        <v>9000</v>
      </c>
      <c r="K482">
        <v>5</v>
      </c>
      <c r="L482">
        <v>45000</v>
      </c>
      <c r="M482" t="s">
        <v>47</v>
      </c>
      <c r="N482">
        <v>2</v>
      </c>
      <c r="O482" t="s">
        <v>48</v>
      </c>
      <c r="P482" t="str">
        <f>TEXT(Hospitalitydata[[#This Row],[Booking_Date]],"mmm")</f>
        <v>Apr</v>
      </c>
    </row>
    <row r="483" spans="1:16" x14ac:dyDescent="0.3">
      <c r="A483" t="s">
        <v>898</v>
      </c>
      <c r="B483" t="s">
        <v>185</v>
      </c>
      <c r="C483" t="s">
        <v>681</v>
      </c>
      <c r="D483" t="s">
        <v>577</v>
      </c>
      <c r="E483" t="s">
        <v>19</v>
      </c>
      <c r="F483" t="s">
        <v>31</v>
      </c>
      <c r="G483" t="s">
        <v>44</v>
      </c>
      <c r="H483" t="s">
        <v>63</v>
      </c>
      <c r="I483" t="s">
        <v>38</v>
      </c>
      <c r="J483">
        <v>4500</v>
      </c>
      <c r="K483">
        <v>3</v>
      </c>
      <c r="L483">
        <v>13500</v>
      </c>
      <c r="M483" t="s">
        <v>24</v>
      </c>
      <c r="N483">
        <v>5</v>
      </c>
      <c r="O483" t="s">
        <v>25</v>
      </c>
      <c r="P483" t="str">
        <f>TEXT(Hospitalitydata[[#This Row],[Booking_Date]],"mmm")</f>
        <v>Apr</v>
      </c>
    </row>
    <row r="484" spans="1:16" x14ac:dyDescent="0.3">
      <c r="A484" t="s">
        <v>899</v>
      </c>
      <c r="B484" t="s">
        <v>572</v>
      </c>
      <c r="C484" t="s">
        <v>256</v>
      </c>
      <c r="D484" t="s">
        <v>466</v>
      </c>
      <c r="E484" t="s">
        <v>43</v>
      </c>
      <c r="F484" t="s">
        <v>31</v>
      </c>
      <c r="G484" t="s">
        <v>21</v>
      </c>
      <c r="H484" t="s">
        <v>63</v>
      </c>
      <c r="I484" t="s">
        <v>46</v>
      </c>
      <c r="J484">
        <v>2500</v>
      </c>
      <c r="K484">
        <v>1</v>
      </c>
      <c r="L484">
        <v>2500</v>
      </c>
      <c r="M484" t="s">
        <v>47</v>
      </c>
      <c r="N484">
        <v>3</v>
      </c>
      <c r="O484" t="s">
        <v>48</v>
      </c>
      <c r="P484" t="str">
        <f>TEXT(Hospitalitydata[[#This Row],[Booking_Date]],"mmm")</f>
        <v>Aug</v>
      </c>
    </row>
    <row r="485" spans="1:16" x14ac:dyDescent="0.3">
      <c r="A485" t="s">
        <v>900</v>
      </c>
      <c r="B485" t="s">
        <v>783</v>
      </c>
      <c r="C485" t="s">
        <v>563</v>
      </c>
      <c r="D485" t="s">
        <v>317</v>
      </c>
      <c r="E485" t="s">
        <v>37</v>
      </c>
      <c r="F485" t="s">
        <v>31</v>
      </c>
      <c r="G485" t="s">
        <v>21</v>
      </c>
      <c r="H485" t="s">
        <v>45</v>
      </c>
      <c r="I485" t="s">
        <v>46</v>
      </c>
      <c r="J485">
        <v>3500</v>
      </c>
      <c r="K485">
        <v>5</v>
      </c>
      <c r="L485">
        <v>17500</v>
      </c>
      <c r="M485" t="s">
        <v>24</v>
      </c>
      <c r="N485">
        <v>4</v>
      </c>
      <c r="O485" t="s">
        <v>25</v>
      </c>
      <c r="P485" t="str">
        <f>TEXT(Hospitalitydata[[#This Row],[Booking_Date]],"mmm")</f>
        <v>Oct</v>
      </c>
    </row>
    <row r="486" spans="1:16" x14ac:dyDescent="0.3">
      <c r="A486" t="s">
        <v>901</v>
      </c>
      <c r="B486" t="s">
        <v>345</v>
      </c>
      <c r="C486" t="s">
        <v>480</v>
      </c>
      <c r="D486" t="s">
        <v>112</v>
      </c>
      <c r="E486" t="s">
        <v>127</v>
      </c>
      <c r="F486" t="s">
        <v>53</v>
      </c>
      <c r="G486" t="s">
        <v>21</v>
      </c>
      <c r="H486" t="s">
        <v>45</v>
      </c>
      <c r="I486" t="s">
        <v>33</v>
      </c>
      <c r="J486">
        <v>7000</v>
      </c>
      <c r="K486">
        <v>2</v>
      </c>
      <c r="L486">
        <v>14000</v>
      </c>
      <c r="M486" t="s">
        <v>24</v>
      </c>
      <c r="N486">
        <v>4</v>
      </c>
      <c r="O486" t="s">
        <v>25</v>
      </c>
      <c r="P486" t="str">
        <f>TEXT(Hospitalitydata[[#This Row],[Booking_Date]],"mmm")</f>
        <v>Jul</v>
      </c>
    </row>
    <row r="487" spans="1:16" x14ac:dyDescent="0.3">
      <c r="A487" t="s">
        <v>902</v>
      </c>
      <c r="B487" t="s">
        <v>176</v>
      </c>
      <c r="C487" t="s">
        <v>408</v>
      </c>
      <c r="D487" t="s">
        <v>360</v>
      </c>
      <c r="E487" t="s">
        <v>19</v>
      </c>
      <c r="F487" t="s">
        <v>62</v>
      </c>
      <c r="G487" t="s">
        <v>32</v>
      </c>
      <c r="H487" t="s">
        <v>45</v>
      </c>
      <c r="I487" t="s">
        <v>46</v>
      </c>
      <c r="J487">
        <v>2500</v>
      </c>
      <c r="K487">
        <v>2</v>
      </c>
      <c r="L487">
        <v>5000</v>
      </c>
      <c r="M487" t="s">
        <v>24</v>
      </c>
      <c r="N487">
        <v>4</v>
      </c>
      <c r="O487" t="s">
        <v>25</v>
      </c>
      <c r="P487" t="str">
        <f>TEXT(Hospitalitydata[[#This Row],[Booking_Date]],"mmm")</f>
        <v>Aug</v>
      </c>
    </row>
    <row r="488" spans="1:16" x14ac:dyDescent="0.3">
      <c r="A488" t="s">
        <v>903</v>
      </c>
      <c r="B488" t="s">
        <v>85</v>
      </c>
      <c r="C488" t="s">
        <v>17</v>
      </c>
      <c r="D488" t="s">
        <v>264</v>
      </c>
      <c r="E488" t="s">
        <v>37</v>
      </c>
      <c r="F488" t="s">
        <v>20</v>
      </c>
      <c r="G488" t="s">
        <v>44</v>
      </c>
      <c r="H488" t="s">
        <v>22</v>
      </c>
      <c r="I488" t="s">
        <v>38</v>
      </c>
      <c r="J488">
        <v>2500</v>
      </c>
      <c r="K488">
        <v>7</v>
      </c>
      <c r="L488">
        <v>17500</v>
      </c>
      <c r="M488" t="s">
        <v>24</v>
      </c>
      <c r="N488">
        <v>4</v>
      </c>
      <c r="O488" t="s">
        <v>25</v>
      </c>
      <c r="P488" t="str">
        <f>TEXT(Hospitalitydata[[#This Row],[Booking_Date]],"mmm")</f>
        <v>Nov</v>
      </c>
    </row>
    <row r="489" spans="1:16" x14ac:dyDescent="0.3">
      <c r="A489" t="s">
        <v>904</v>
      </c>
      <c r="B489" t="s">
        <v>574</v>
      </c>
      <c r="C489" t="s">
        <v>71</v>
      </c>
      <c r="D489" t="s">
        <v>146</v>
      </c>
      <c r="E489" t="s">
        <v>43</v>
      </c>
      <c r="F489" t="s">
        <v>62</v>
      </c>
      <c r="G489" t="s">
        <v>32</v>
      </c>
      <c r="H489" t="s">
        <v>45</v>
      </c>
      <c r="I489" t="s">
        <v>33</v>
      </c>
      <c r="J489">
        <v>3500</v>
      </c>
      <c r="K489">
        <v>5</v>
      </c>
      <c r="L489">
        <v>17500</v>
      </c>
      <c r="M489" t="s">
        <v>24</v>
      </c>
      <c r="N489">
        <v>4</v>
      </c>
      <c r="O489" t="s">
        <v>25</v>
      </c>
      <c r="P489" t="str">
        <f>TEXT(Hospitalitydata[[#This Row],[Booking_Date]],"mmm")</f>
        <v>Sep</v>
      </c>
    </row>
    <row r="490" spans="1:16" x14ac:dyDescent="0.3">
      <c r="A490" t="s">
        <v>905</v>
      </c>
      <c r="B490" t="s">
        <v>60</v>
      </c>
      <c r="C490" t="s">
        <v>144</v>
      </c>
      <c r="D490" t="s">
        <v>616</v>
      </c>
      <c r="E490" t="s">
        <v>43</v>
      </c>
      <c r="F490" t="s">
        <v>62</v>
      </c>
      <c r="G490" t="s">
        <v>44</v>
      </c>
      <c r="H490" t="s">
        <v>45</v>
      </c>
      <c r="I490" t="s">
        <v>38</v>
      </c>
      <c r="J490">
        <v>2500</v>
      </c>
      <c r="K490">
        <v>5</v>
      </c>
      <c r="L490">
        <v>12500</v>
      </c>
      <c r="M490" t="s">
        <v>47</v>
      </c>
      <c r="N490">
        <v>2</v>
      </c>
      <c r="O490" t="s">
        <v>48</v>
      </c>
      <c r="P490" t="str">
        <f>TEXT(Hospitalitydata[[#This Row],[Booking_Date]],"mmm")</f>
        <v>Mar</v>
      </c>
    </row>
    <row r="491" spans="1:16" x14ac:dyDescent="0.3">
      <c r="A491" t="s">
        <v>906</v>
      </c>
      <c r="B491" t="s">
        <v>907</v>
      </c>
      <c r="C491" t="s">
        <v>268</v>
      </c>
      <c r="D491" t="s">
        <v>17</v>
      </c>
      <c r="E491" t="s">
        <v>43</v>
      </c>
      <c r="F491" t="s">
        <v>62</v>
      </c>
      <c r="G491" t="s">
        <v>44</v>
      </c>
      <c r="H491" t="s">
        <v>22</v>
      </c>
      <c r="I491" t="s">
        <v>38</v>
      </c>
      <c r="J491">
        <v>2500</v>
      </c>
      <c r="K491">
        <v>6</v>
      </c>
      <c r="L491">
        <v>15000</v>
      </c>
      <c r="M491" t="s">
        <v>47</v>
      </c>
      <c r="N491">
        <v>3</v>
      </c>
      <c r="O491" t="s">
        <v>48</v>
      </c>
      <c r="P491" t="str">
        <f>TEXT(Hospitalitydata[[#This Row],[Booking_Date]],"mmm")</f>
        <v>Nov</v>
      </c>
    </row>
    <row r="492" spans="1:16" x14ac:dyDescent="0.3">
      <c r="A492" t="s">
        <v>908</v>
      </c>
      <c r="B492" t="s">
        <v>285</v>
      </c>
      <c r="C492" t="s">
        <v>71</v>
      </c>
      <c r="D492" t="s">
        <v>575</v>
      </c>
      <c r="E492" t="s">
        <v>19</v>
      </c>
      <c r="F492" t="s">
        <v>31</v>
      </c>
      <c r="G492" t="s">
        <v>21</v>
      </c>
      <c r="H492" t="s">
        <v>22</v>
      </c>
      <c r="I492" t="s">
        <v>46</v>
      </c>
      <c r="J492">
        <v>5500</v>
      </c>
      <c r="K492">
        <v>2</v>
      </c>
      <c r="L492">
        <v>11000</v>
      </c>
      <c r="M492" t="s">
        <v>24</v>
      </c>
      <c r="N492">
        <v>5</v>
      </c>
      <c r="O492" t="s">
        <v>25</v>
      </c>
      <c r="P492" t="str">
        <f>TEXT(Hospitalitydata[[#This Row],[Booking_Date]],"mmm")</f>
        <v>Sep</v>
      </c>
    </row>
    <row r="493" spans="1:16" x14ac:dyDescent="0.3">
      <c r="A493" t="s">
        <v>909</v>
      </c>
      <c r="B493" t="s">
        <v>435</v>
      </c>
      <c r="C493" t="s">
        <v>288</v>
      </c>
      <c r="D493" t="s">
        <v>184</v>
      </c>
      <c r="E493" t="s">
        <v>19</v>
      </c>
      <c r="F493" t="s">
        <v>53</v>
      </c>
      <c r="G493" t="s">
        <v>44</v>
      </c>
      <c r="H493" t="s">
        <v>45</v>
      </c>
      <c r="I493" t="s">
        <v>23</v>
      </c>
      <c r="J493">
        <v>4500</v>
      </c>
      <c r="K493">
        <v>6</v>
      </c>
      <c r="L493">
        <v>27000</v>
      </c>
      <c r="M493" t="s">
        <v>47</v>
      </c>
      <c r="N493">
        <v>1</v>
      </c>
      <c r="O493" t="s">
        <v>48</v>
      </c>
      <c r="P493" t="str">
        <f>TEXT(Hospitalitydata[[#This Row],[Booking_Date]],"mmm")</f>
        <v>Mar</v>
      </c>
    </row>
    <row r="494" spans="1:16" x14ac:dyDescent="0.3">
      <c r="A494" t="s">
        <v>910</v>
      </c>
      <c r="B494" t="s">
        <v>911</v>
      </c>
      <c r="C494" t="s">
        <v>912</v>
      </c>
      <c r="D494" t="s">
        <v>834</v>
      </c>
      <c r="E494" t="s">
        <v>30</v>
      </c>
      <c r="F494" t="s">
        <v>20</v>
      </c>
      <c r="G494" t="s">
        <v>32</v>
      </c>
      <c r="H494" t="s">
        <v>63</v>
      </c>
      <c r="I494" t="s">
        <v>23</v>
      </c>
      <c r="J494">
        <v>7000</v>
      </c>
      <c r="K494">
        <v>5</v>
      </c>
      <c r="L494">
        <v>35000</v>
      </c>
      <c r="M494" t="s">
        <v>24</v>
      </c>
      <c r="N494">
        <v>3</v>
      </c>
      <c r="O494" t="s">
        <v>25</v>
      </c>
      <c r="P494" t="str">
        <f>TEXT(Hospitalitydata[[#This Row],[Booking_Date]],"mmm")</f>
        <v>Jan</v>
      </c>
    </row>
    <row r="495" spans="1:16" x14ac:dyDescent="0.3">
      <c r="A495" t="s">
        <v>913</v>
      </c>
      <c r="B495" t="s">
        <v>126</v>
      </c>
      <c r="C495" t="s">
        <v>133</v>
      </c>
      <c r="D495" t="s">
        <v>783</v>
      </c>
      <c r="E495" t="s">
        <v>19</v>
      </c>
      <c r="F495" t="s">
        <v>31</v>
      </c>
      <c r="G495" t="s">
        <v>21</v>
      </c>
      <c r="H495" t="s">
        <v>45</v>
      </c>
      <c r="I495" t="s">
        <v>38</v>
      </c>
      <c r="J495">
        <v>2500</v>
      </c>
      <c r="K495">
        <v>7</v>
      </c>
      <c r="L495">
        <v>17500</v>
      </c>
      <c r="M495" t="s">
        <v>24</v>
      </c>
      <c r="N495">
        <v>5</v>
      </c>
      <c r="O495" t="s">
        <v>25</v>
      </c>
      <c r="P495" t="str">
        <f>TEXT(Hospitalitydata[[#This Row],[Booking_Date]],"mmm")</f>
        <v>Sep</v>
      </c>
    </row>
    <row r="496" spans="1:16" x14ac:dyDescent="0.3">
      <c r="A496" t="s">
        <v>914</v>
      </c>
      <c r="B496" t="s">
        <v>488</v>
      </c>
      <c r="C496" t="s">
        <v>482</v>
      </c>
      <c r="D496" t="s">
        <v>483</v>
      </c>
      <c r="E496" t="s">
        <v>19</v>
      </c>
      <c r="F496" t="s">
        <v>53</v>
      </c>
      <c r="G496" t="s">
        <v>44</v>
      </c>
      <c r="H496" t="s">
        <v>63</v>
      </c>
      <c r="I496" t="s">
        <v>23</v>
      </c>
      <c r="J496">
        <v>2500</v>
      </c>
      <c r="K496">
        <v>3</v>
      </c>
      <c r="L496">
        <v>7500</v>
      </c>
      <c r="M496" t="s">
        <v>24</v>
      </c>
      <c r="N496">
        <v>4</v>
      </c>
      <c r="O496" t="s">
        <v>25</v>
      </c>
      <c r="P496" t="str">
        <f>TEXT(Hospitalitydata[[#This Row],[Booking_Date]],"mmm")</f>
        <v>Sep</v>
      </c>
    </row>
    <row r="497" spans="1:16" x14ac:dyDescent="0.3">
      <c r="A497" t="s">
        <v>915</v>
      </c>
      <c r="B497" t="s">
        <v>284</v>
      </c>
      <c r="C497" t="s">
        <v>480</v>
      </c>
      <c r="D497" t="s">
        <v>176</v>
      </c>
      <c r="E497" t="s">
        <v>37</v>
      </c>
      <c r="F497" t="s">
        <v>31</v>
      </c>
      <c r="G497" t="s">
        <v>21</v>
      </c>
      <c r="H497" t="s">
        <v>63</v>
      </c>
      <c r="I497" t="s">
        <v>46</v>
      </c>
      <c r="J497">
        <v>5500</v>
      </c>
      <c r="K497">
        <v>3</v>
      </c>
      <c r="L497">
        <v>16500</v>
      </c>
      <c r="M497" t="s">
        <v>24</v>
      </c>
      <c r="N497">
        <v>3</v>
      </c>
      <c r="O497" t="s">
        <v>25</v>
      </c>
      <c r="P497" t="str">
        <f>TEXT(Hospitalitydata[[#This Row],[Booking_Date]],"mmm")</f>
        <v>Aug</v>
      </c>
    </row>
    <row r="498" spans="1:16" x14ac:dyDescent="0.3">
      <c r="A498" t="s">
        <v>916</v>
      </c>
      <c r="B498" t="s">
        <v>376</v>
      </c>
      <c r="C498" t="s">
        <v>99</v>
      </c>
      <c r="D498" t="s">
        <v>843</v>
      </c>
      <c r="E498" t="s">
        <v>30</v>
      </c>
      <c r="F498" t="s">
        <v>20</v>
      </c>
      <c r="G498" t="s">
        <v>21</v>
      </c>
      <c r="H498" t="s">
        <v>45</v>
      </c>
      <c r="I498" t="s">
        <v>38</v>
      </c>
      <c r="J498">
        <v>9000</v>
      </c>
      <c r="K498">
        <v>6</v>
      </c>
      <c r="L498">
        <v>54000</v>
      </c>
      <c r="M498" t="s">
        <v>24</v>
      </c>
      <c r="N498">
        <v>5</v>
      </c>
      <c r="O498" t="s">
        <v>25</v>
      </c>
      <c r="P498" t="str">
        <f>TEXT(Hospitalitydata[[#This Row],[Booking_Date]],"mmm")</f>
        <v>Apr</v>
      </c>
    </row>
    <row r="499" spans="1:16" x14ac:dyDescent="0.3">
      <c r="A499" t="s">
        <v>917</v>
      </c>
      <c r="B499" t="s">
        <v>502</v>
      </c>
      <c r="C499" t="s">
        <v>503</v>
      </c>
      <c r="D499" t="s">
        <v>57</v>
      </c>
      <c r="E499" t="s">
        <v>19</v>
      </c>
      <c r="F499" t="s">
        <v>53</v>
      </c>
      <c r="G499" t="s">
        <v>21</v>
      </c>
      <c r="H499" t="s">
        <v>22</v>
      </c>
      <c r="I499" t="s">
        <v>46</v>
      </c>
      <c r="J499">
        <v>4500</v>
      </c>
      <c r="K499">
        <v>6</v>
      </c>
      <c r="L499">
        <v>27000</v>
      </c>
      <c r="M499" t="s">
        <v>24</v>
      </c>
      <c r="N499">
        <v>3</v>
      </c>
      <c r="O499" t="s">
        <v>25</v>
      </c>
      <c r="P499" t="str">
        <f>TEXT(Hospitalitydata[[#This Row],[Booking_Date]],"mmm")</f>
        <v>Dec</v>
      </c>
    </row>
    <row r="500" spans="1:16" x14ac:dyDescent="0.3">
      <c r="A500" t="s">
        <v>918</v>
      </c>
      <c r="B500" t="s">
        <v>247</v>
      </c>
      <c r="C500" t="s">
        <v>295</v>
      </c>
      <c r="D500" t="s">
        <v>335</v>
      </c>
      <c r="E500" t="s">
        <v>37</v>
      </c>
      <c r="F500" t="s">
        <v>53</v>
      </c>
      <c r="G500" t="s">
        <v>32</v>
      </c>
      <c r="H500" t="s">
        <v>63</v>
      </c>
      <c r="I500" t="s">
        <v>38</v>
      </c>
      <c r="J500">
        <v>5500</v>
      </c>
      <c r="K500">
        <v>5</v>
      </c>
      <c r="L500">
        <v>27500</v>
      </c>
      <c r="M500" t="s">
        <v>24</v>
      </c>
      <c r="N500">
        <v>5</v>
      </c>
      <c r="O500" t="s">
        <v>25</v>
      </c>
      <c r="P500" t="str">
        <f>TEXT(Hospitalitydata[[#This Row],[Booking_Date]],"mmm")</f>
        <v>May</v>
      </c>
    </row>
    <row r="501" spans="1:16" x14ac:dyDescent="0.3">
      <c r="A501" t="s">
        <v>919</v>
      </c>
      <c r="B501" t="s">
        <v>183</v>
      </c>
      <c r="C501" t="s">
        <v>843</v>
      </c>
      <c r="D501" t="s">
        <v>108</v>
      </c>
      <c r="E501" t="s">
        <v>30</v>
      </c>
      <c r="F501" t="s">
        <v>87</v>
      </c>
      <c r="G501" t="s">
        <v>21</v>
      </c>
      <c r="H501" t="s">
        <v>63</v>
      </c>
      <c r="I501" t="s">
        <v>33</v>
      </c>
      <c r="J501">
        <v>7000</v>
      </c>
      <c r="K501">
        <v>5</v>
      </c>
      <c r="L501">
        <v>35000</v>
      </c>
      <c r="M501" t="s">
        <v>24</v>
      </c>
      <c r="N501">
        <v>4</v>
      </c>
      <c r="O501" t="s">
        <v>25</v>
      </c>
      <c r="P501" t="str">
        <f>TEXT(Hospitalitydata[[#This Row],[Booking_Date]],"mmm")</f>
        <v>Apr</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CD93-6C3D-4A54-A2D4-E5BAD9417826}">
  <dimension ref="D2:Y34"/>
  <sheetViews>
    <sheetView tabSelected="1" zoomScale="69" workbookViewId="0">
      <selection activeCell="Y20" sqref="Y20"/>
    </sheetView>
  </sheetViews>
  <sheetFormatPr defaultRowHeight="14.4" x14ac:dyDescent="0.3"/>
  <sheetData>
    <row r="2" spans="4:25" ht="18.600000000000001" customHeight="1" x14ac:dyDescent="0.3"/>
    <row r="6" spans="4:25" ht="23.4" x14ac:dyDescent="0.45">
      <c r="D6" s="5"/>
      <c r="E6" s="5"/>
      <c r="X6" s="8"/>
      <c r="Y6" s="8"/>
    </row>
    <row r="8" spans="4:25" x14ac:dyDescent="0.3">
      <c r="J8" s="9"/>
    </row>
    <row r="9" spans="4:25" x14ac:dyDescent="0.3">
      <c r="J9" s="10"/>
    </row>
    <row r="11" spans="4:25" x14ac:dyDescent="0.3">
      <c r="L11" s="7"/>
    </row>
    <row r="28" spans="25:25" ht="23.4" x14ac:dyDescent="0.45">
      <c r="Y28" s="5"/>
    </row>
    <row r="34" spans="25:25" ht="23.4" x14ac:dyDescent="0.45">
      <c r="Y34"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Revenue by city</vt:lpstr>
      <vt:lpstr>Revenue by hotel chart</vt:lpstr>
      <vt:lpstr>Revenue by room type</vt:lpstr>
      <vt:lpstr>Bookings by channel</vt:lpstr>
      <vt:lpstr>Customer distribution</vt:lpstr>
      <vt:lpstr>Detail1</vt:lpstr>
      <vt:lpstr>Monthly revenue</vt:lpstr>
      <vt:lpstr>Rating analysis</vt:lpstr>
      <vt:lpstr>Sheet11</vt:lpstr>
      <vt:lpstr>KPI</vt:lpstr>
      <vt:lpstr>Sheet12</vt:lpstr>
      <vt:lpstr>Sheet13</vt:lpstr>
      <vt:lpstr>Sheet14</vt:lpstr>
      <vt:lpstr>HospitalityData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Chitra Y</cp:lastModifiedBy>
  <dcterms:created xsi:type="dcterms:W3CDTF">2026-06-05T06:57:45Z</dcterms:created>
  <dcterms:modified xsi:type="dcterms:W3CDTF">2026-06-06T09:59:42Z</dcterms:modified>
</cp:coreProperties>
</file>